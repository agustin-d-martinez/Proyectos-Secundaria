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/>
  <mc:AlternateContent xmlns:mc="http://schemas.openxmlformats.org/markup-compatibility/2006">
    <mc:Choice Requires="x15">
      <x15ac:absPath xmlns:x15ac="http://schemas.microsoft.com/office/spreadsheetml/2010/11/ac" url="C:\Users\mari-ser\Downloads\"/>
    </mc:Choice>
  </mc:AlternateContent>
  <xr:revisionPtr revIDLastSave="0" documentId="13_ncr:1_{572FD673-D2DF-454B-A5AE-6142D54D620D}" xr6:coauthVersionLast="45" xr6:coauthVersionMax="45" xr10:uidLastSave="{00000000-0000-0000-0000-000000000000}"/>
  <bookViews>
    <workbookView xWindow="-120" yWindow="-120" windowWidth="20730" windowHeight="11760" xr2:uid="{00000000-000D-0000-FFFF-FFFF00000000}"/>
  </bookViews>
  <sheets>
    <sheet name="gastos de proyecto" sheetId="1" r:id="rId1"/>
    <sheet name="lista de tareas" sheetId="2" r:id="rId2"/>
    <sheet name="lista de componentes" sheetId="3" r:id="rId3"/>
  </sheets>
  <definedNames>
    <definedName name="cantidad_devuelta">'gastos de proyecto'!$E$26:$E$34</definedName>
    <definedName name="devuelto_por">'gastos de proyecto'!$D$26:$D$34</definedName>
    <definedName name="dinero_de">'gastos de proyecto'!$E$4:$E$21</definedName>
    <definedName name="gasto">'gastos de proyecto'!$D$4:$D$21</definedName>
    <definedName name="para">'gastos de proyecto'!$F$26:$F$34</definedName>
    <definedName name="total">'gastos de proyecto'!$J$3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8" roundtripDataSignature="AMtx7mjXFuYLbMXNUKkt9Fb+DGAwYwc/pw=="/>
    </ext>
  </extLst>
</workbook>
</file>

<file path=xl/calcChain.xml><?xml version="1.0" encoding="utf-8"?>
<calcChain xmlns="http://schemas.openxmlformats.org/spreadsheetml/2006/main">
  <c r="E15" i="3" l="1"/>
  <c r="J3" i="1"/>
  <c r="I25" i="1" s="1"/>
  <c r="I28" i="1"/>
  <c r="J6" i="1" l="1"/>
  <c r="J8" i="1"/>
  <c r="J5" i="1"/>
  <c r="I27" i="1"/>
  <c r="I26" i="1"/>
  <c r="J7" i="1"/>
</calcChain>
</file>

<file path=xl/sharedStrings.xml><?xml version="1.0" encoding="utf-8"?>
<sst xmlns="http://schemas.openxmlformats.org/spreadsheetml/2006/main" count="205" uniqueCount="123">
  <si>
    <t>total estimado:</t>
  </si>
  <si>
    <t>LISTA DE TAREAS:</t>
  </si>
  <si>
    <t>Componentes / Materiales</t>
  </si>
  <si>
    <t>fecha:</t>
  </si>
  <si>
    <t>gasto:</t>
  </si>
  <si>
    <t>dinero de:</t>
  </si>
  <si>
    <t>componentes:</t>
  </si>
  <si>
    <t>total:</t>
  </si>
  <si>
    <t>TAREAS POR PERSONA:</t>
  </si>
  <si>
    <t>Sentido</t>
  </si>
  <si>
    <t>Precio ($)</t>
  </si>
  <si>
    <t>Imagen</t>
  </si>
  <si>
    <t>Datasheets</t>
  </si>
  <si>
    <t>TCS3200</t>
  </si>
  <si>
    <t>Sensor RGB</t>
  </si>
  <si>
    <t>LISTA DE MATERIALES</t>
  </si>
  <si>
    <t>https://html.alldatasheet.com/html-pdf/454462/TAOS/TCS3200/96/1/TCS3200.html</t>
  </si>
  <si>
    <t>CANTIDAD</t>
  </si>
  <si>
    <t>martinez</t>
  </si>
  <si>
    <t>COMPRADO</t>
  </si>
  <si>
    <t>PLAQUETA</t>
  </si>
  <si>
    <t>*</t>
  </si>
  <si>
    <t>CÓDIGO SENSOR COLOR</t>
  </si>
  <si>
    <t>SALERNO</t>
  </si>
  <si>
    <t>ampli y registros</t>
  </si>
  <si>
    <t>cableado</t>
  </si>
  <si>
    <t>-</t>
  </si>
  <si>
    <t>capacitor 100n</t>
  </si>
  <si>
    <t>28BYJ-48</t>
  </si>
  <si>
    <t>Motor paso a paso</t>
  </si>
  <si>
    <t>https://pdf1.alldatasheet.com/datasheet-pdf/view/1132391/ETC1/28BYJ-48.html</t>
  </si>
  <si>
    <t>ntc y galga</t>
  </si>
  <si>
    <t>salerno</t>
  </si>
  <si>
    <r>
      <t>NTC Termistor (10K</t>
    </r>
    <r>
      <rPr>
        <sz val="22"/>
        <color theme="1"/>
        <rFont val="Calibri"/>
      </rPr>
      <t>Ω</t>
    </r>
    <r>
      <rPr>
        <sz val="22"/>
        <color theme="1"/>
        <rFont val="Calibri"/>
      </rPr>
      <t>)</t>
    </r>
  </si>
  <si>
    <t>Sensor Temperatura por Resistencia</t>
  </si>
  <si>
    <t>https://www.jameco.com/z/NTC-103-R-Thermistor-NTC-K-10-10k-Ohm_207037.html</t>
  </si>
  <si>
    <t>MAQUETA</t>
  </si>
  <si>
    <t>PLA</t>
  </si>
  <si>
    <t>MARTINEZ</t>
  </si>
  <si>
    <t>capacitor_pol 1u</t>
  </si>
  <si>
    <t>Placa Virgen de Cobre (20x20)</t>
  </si>
  <si>
    <t>Creacion de Plaquetas</t>
  </si>
  <si>
    <t>Filamento PLA Impresora 3D (1Kg)</t>
  </si>
  <si>
    <t>Fabricacion de la Maqueta</t>
  </si>
  <si>
    <t>CABLEAR</t>
  </si>
  <si>
    <t>SPATARO</t>
  </si>
  <si>
    <t>sensor color y teclado</t>
  </si>
  <si>
    <t>resistencia 100</t>
  </si>
  <si>
    <t>ZORRILA</t>
  </si>
  <si>
    <t>maqueta</t>
  </si>
  <si>
    <t>Madera MDF</t>
  </si>
  <si>
    <t>Fabricacion de la Estructura</t>
  </si>
  <si>
    <t>Display LCD (20x4)</t>
  </si>
  <si>
    <t>Interfaz con el Usuario</t>
  </si>
  <si>
    <t>resistencia 12K</t>
  </si>
  <si>
    <t>resistencia 1K</t>
  </si>
  <si>
    <t>Cable de Protoboard Macho-Macho (x40)</t>
  </si>
  <si>
    <t>Interconexiones</t>
  </si>
  <si>
    <t>resistencia 33K</t>
  </si>
  <si>
    <t>Teclado Matricial (4x3)</t>
  </si>
  <si>
    <t>Control Manual</t>
  </si>
  <si>
    <t>Galga Extensiometrica</t>
  </si>
  <si>
    <t>Sensor de Peso</t>
  </si>
  <si>
    <t>https://drive.google.com/drive/folders/1pBos9EHVXeAgFke5kVgYYGz_hnDwr5rE</t>
  </si>
  <si>
    <t>celda de carga</t>
  </si>
  <si>
    <t>Cooler</t>
  </si>
  <si>
    <t xml:space="preserve">Refrigeramiento </t>
  </si>
  <si>
    <t>COMPONENTES VARIOS</t>
  </si>
  <si>
    <t>resistencia 680</t>
  </si>
  <si>
    <t>AMPLIFICADOR OPERACIONAL</t>
  </si>
  <si>
    <t>LM358(BUSCAR SMD)</t>
  </si>
  <si>
    <t>resistencia 6K8</t>
  </si>
  <si>
    <t>Componentes varios</t>
  </si>
  <si>
    <t>Armado de Plaquetas</t>
  </si>
  <si>
    <t>Costo Resultante Aproximado</t>
  </si>
  <si>
    <t>componentes placa micro</t>
  </si>
  <si>
    <t>lm358</t>
  </si>
  <si>
    <t>pulsadores</t>
  </si>
  <si>
    <t>ZORRILLA</t>
  </si>
  <si>
    <t>ad620</t>
  </si>
  <si>
    <t>74hc595</t>
  </si>
  <si>
    <t>micro</t>
  </si>
  <si>
    <t>bornera 2</t>
  </si>
  <si>
    <t>hoja satinada e impresiones</t>
  </si>
  <si>
    <t>bornera 6</t>
  </si>
  <si>
    <t>cables protoboard</t>
  </si>
  <si>
    <t>capacitor 10n</t>
  </si>
  <si>
    <t>capacitor_pol 47u</t>
  </si>
  <si>
    <t>/</t>
  </si>
  <si>
    <t>componentes teclado y cooler</t>
  </si>
  <si>
    <t>diodo 1n5819</t>
  </si>
  <si>
    <t>jumper</t>
  </si>
  <si>
    <t>zorrilla</t>
  </si>
  <si>
    <t>regulador 7805</t>
  </si>
  <si>
    <t>madera</t>
  </si>
  <si>
    <t>resistencia 1k</t>
  </si>
  <si>
    <t>resistencia 3k9</t>
  </si>
  <si>
    <t>sensor color, cables y fin carrera</t>
  </si>
  <si>
    <t>resistencia 4k7</t>
  </si>
  <si>
    <t>zocalo 20 patas</t>
  </si>
  <si>
    <t>tuercas y tornillos</t>
  </si>
  <si>
    <t>tira de pines 16</t>
  </si>
  <si>
    <t>CTRL+f=TICK DE COMPRA</t>
  </si>
  <si>
    <t xml:space="preserve">tira de pines 3 </t>
  </si>
  <si>
    <t>tira de pines 3x2(bdm)</t>
  </si>
  <si>
    <t>tuercas y tornillos celda de carga</t>
  </si>
  <si>
    <t>tira de pines 4</t>
  </si>
  <si>
    <t>uln2003</t>
  </si>
  <si>
    <t>teclado</t>
  </si>
  <si>
    <t>bornera 4</t>
  </si>
  <si>
    <t>DEVUELTO</t>
  </si>
  <si>
    <t>resistencia 10k</t>
  </si>
  <si>
    <t>resistencia 2k7</t>
  </si>
  <si>
    <t>resistencia 2k8</t>
  </si>
  <si>
    <t>resistencia 2k9</t>
  </si>
  <si>
    <t>resistencia 390</t>
  </si>
  <si>
    <t>fecha</t>
  </si>
  <si>
    <t>entregado por:</t>
  </si>
  <si>
    <t>cantidad:</t>
  </si>
  <si>
    <t>para:</t>
  </si>
  <si>
    <t>spataro</t>
  </si>
  <si>
    <t>19/11/2019</t>
  </si>
  <si>
    <t>zorrila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</si>
</sst>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\ #,##0;[Red]\-&quot;$&quot;\ #,##0"/>
    <numFmt numFmtId="164" formatCode="_-&quot;$&quot;\ * #,##0.00_-;\-&quot;$&quot;\ * #,##0.00_-;_-&quot;$&quot;\ * &quot;-&quot;??_-;_-@"/>
    <numFmt numFmtId="165" formatCode="&quot;$&quot;\ #,##0;[Red]&quot;$&quot;\ \-#,##0"/>
  </numFmts>
  <fonts count="15">
    <font>
      <sz val="11"/>
      <color theme="1"/>
      <name val="Arial"/>
    </font>
    <font>
      <sz val="11"/>
      <color theme="1"/>
      <name val="Calibri"/>
    </font>
    <font>
      <sz val="11"/>
      <color rgb="FF006100"/>
      <name val="Arimo"/>
    </font>
    <font>
      <sz val="22"/>
      <color theme="1"/>
      <name val="Calibri"/>
    </font>
    <font>
      <sz val="16"/>
      <color theme="1"/>
      <name val="Calibri"/>
    </font>
    <font>
      <sz val="15"/>
      <color rgb="FF006100"/>
      <name val="Calibri"/>
    </font>
    <font>
      <u/>
      <sz val="16"/>
      <color theme="10"/>
      <name val="Arial"/>
    </font>
    <font>
      <b/>
      <sz val="11"/>
      <color theme="1"/>
      <name val="Calibri"/>
    </font>
    <font>
      <b/>
      <sz val="11"/>
      <color rgb="FF006100"/>
      <name val="Calibri"/>
    </font>
    <font>
      <sz val="11"/>
      <color rgb="FF000000"/>
      <name val="Calibri"/>
    </font>
    <font>
      <u/>
      <sz val="16"/>
      <color theme="10"/>
      <name val="Calibri"/>
    </font>
    <font>
      <sz val="11"/>
      <color theme="1"/>
      <name val="Arimo"/>
    </font>
    <font>
      <sz val="11"/>
      <name val="Arial"/>
    </font>
    <font>
      <b/>
      <sz val="11"/>
      <color theme="1"/>
      <name val="Arial"/>
    </font>
    <font>
      <sz val="11"/>
      <color rgb="FF000000"/>
      <name val="Arial"/>
    </font>
  </fonts>
  <fills count="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DD6EE"/>
        <bgColor rgb="FFBDD6EE"/>
      </patternFill>
    </fill>
    <fill>
      <patternFill patternType="solid">
        <fgColor rgb="FFC5E0B3"/>
        <bgColor rgb="FFC5E0B3"/>
      </patternFill>
    </fill>
    <fill>
      <patternFill patternType="solid">
        <fgColor rgb="FF92D050"/>
        <bgColor rgb="FF92D050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</fills>
  <borders count="4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111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Font="1" applyAlignment="1">
      <alignment vertical="center"/>
    </xf>
    <xf numFmtId="0" fontId="1" fillId="0" borderId="0" xfId="0" applyFont="1"/>
    <xf numFmtId="0" fontId="1" fillId="2" borderId="1" xfId="0" applyFont="1" applyFill="1" applyBorder="1" applyAlignment="1">
      <alignment vertical="center"/>
    </xf>
    <xf numFmtId="164" fontId="1" fillId="0" borderId="1" xfId="0" applyNumberFormat="1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vertical="center"/>
    </xf>
    <xf numFmtId="0" fontId="2" fillId="0" borderId="0" xfId="0" applyFont="1"/>
    <xf numFmtId="0" fontId="3" fillId="3" borderId="4" xfId="0" applyFont="1" applyFill="1" applyBorder="1" applyAlignment="1">
      <alignment horizontal="center" vertical="center" wrapText="1"/>
    </xf>
    <xf numFmtId="0" fontId="1" fillId="2" borderId="5" xfId="0" applyFont="1" applyFill="1" applyBorder="1"/>
    <xf numFmtId="0" fontId="1" fillId="2" borderId="6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 vertical="center"/>
    </xf>
    <xf numFmtId="164" fontId="1" fillId="4" borderId="7" xfId="0" applyNumberFormat="1" applyFont="1" applyFill="1" applyBorder="1"/>
    <xf numFmtId="0" fontId="4" fillId="0" borderId="4" xfId="0" applyFont="1" applyBorder="1" applyAlignment="1">
      <alignment horizontal="center" vertical="center" wrapText="1"/>
    </xf>
    <xf numFmtId="14" fontId="1" fillId="0" borderId="8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4" xfId="0" applyFont="1" applyBorder="1"/>
    <xf numFmtId="0" fontId="1" fillId="2" borderId="1" xfId="0" applyFont="1" applyFill="1" applyBorder="1" applyAlignment="1">
      <alignment horizontal="center"/>
    </xf>
    <xf numFmtId="164" fontId="1" fillId="0" borderId="8" xfId="0" applyNumberFormat="1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6" fillId="0" borderId="10" xfId="0" applyFont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6" fontId="1" fillId="0" borderId="0" xfId="0" applyNumberFormat="1" applyFont="1"/>
    <xf numFmtId="0" fontId="1" fillId="0" borderId="2" xfId="0" applyFont="1" applyBorder="1" applyAlignment="1">
      <alignment horizontal="center"/>
    </xf>
    <xf numFmtId="0" fontId="7" fillId="5" borderId="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14" fontId="1" fillId="0" borderId="15" xfId="0" applyNumberFormat="1" applyFont="1" applyBorder="1" applyAlignment="1">
      <alignment horizontal="center" vertical="center"/>
    </xf>
    <xf numFmtId="0" fontId="8" fillId="5" borderId="6" xfId="0" applyFont="1" applyFill="1" applyBorder="1" applyAlignment="1">
      <alignment horizontal="center"/>
    </xf>
    <xf numFmtId="164" fontId="9" fillId="0" borderId="15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0" fillId="0" borderId="10" xfId="0" applyFont="1" applyBorder="1" applyAlignment="1">
      <alignment horizontal="center" vertical="center" wrapText="1"/>
    </xf>
    <xf numFmtId="0" fontId="11" fillId="0" borderId="0" xfId="0" applyFont="1"/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/>
    </xf>
    <xf numFmtId="0" fontId="7" fillId="5" borderId="1" xfId="0" applyFont="1" applyFill="1" applyBorder="1" applyAlignment="1">
      <alignment horizontal="center" vertical="center"/>
    </xf>
    <xf numFmtId="0" fontId="1" fillId="2" borderId="21" xfId="0" applyFont="1" applyFill="1" applyBorder="1"/>
    <xf numFmtId="0" fontId="7" fillId="7" borderId="22" xfId="0" applyFont="1" applyFill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6" fontId="1" fillId="0" borderId="23" xfId="0" applyNumberFormat="1" applyFont="1" applyBorder="1"/>
    <xf numFmtId="0" fontId="1" fillId="0" borderId="24" xfId="0" applyFont="1" applyBorder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" fillId="0" borderId="25" xfId="0" applyFont="1" applyBorder="1" applyAlignment="1">
      <alignment horizontal="center"/>
    </xf>
    <xf numFmtId="14" fontId="9" fillId="0" borderId="15" xfId="0" applyNumberFormat="1" applyFont="1" applyBorder="1" applyAlignment="1">
      <alignment horizontal="center" vertical="center"/>
    </xf>
    <xf numFmtId="164" fontId="1" fillId="0" borderId="15" xfId="0" applyNumberFormat="1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/>
    <xf numFmtId="0" fontId="1" fillId="2" borderId="28" xfId="0" applyFont="1" applyFill="1" applyBorder="1"/>
    <xf numFmtId="0" fontId="4" fillId="0" borderId="10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/>
    </xf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165" fontId="3" fillId="3" borderId="4" xfId="0" applyNumberFormat="1" applyFont="1" applyFill="1" applyBorder="1" applyAlignment="1">
      <alignment horizontal="center" vertical="center"/>
    </xf>
    <xf numFmtId="6" fontId="1" fillId="0" borderId="30" xfId="0" applyNumberFormat="1" applyFont="1" applyBorder="1"/>
    <xf numFmtId="14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1" fillId="0" borderId="31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2" borderId="32" xfId="0" applyFont="1" applyFill="1" applyBorder="1"/>
    <xf numFmtId="0" fontId="8" fillId="5" borderId="33" xfId="0" applyFont="1" applyFill="1" applyBorder="1" applyAlignment="1">
      <alignment horizontal="center"/>
    </xf>
    <xf numFmtId="6" fontId="1" fillId="0" borderId="35" xfId="0" applyNumberFormat="1" applyFont="1" applyBorder="1"/>
    <xf numFmtId="0" fontId="1" fillId="0" borderId="36" xfId="0" applyFont="1" applyBorder="1" applyAlignment="1">
      <alignment horizontal="center"/>
    </xf>
    <xf numFmtId="164" fontId="9" fillId="0" borderId="15" xfId="0" applyNumberFormat="1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4" fillId="0" borderId="15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13" fillId="5" borderId="6" xfId="0" applyFont="1" applyFill="1" applyBorder="1" applyAlignment="1">
      <alignment horizontal="center"/>
    </xf>
    <xf numFmtId="14" fontId="1" fillId="0" borderId="39" xfId="0" applyNumberFormat="1" applyFont="1" applyBorder="1" applyAlignment="1">
      <alignment horizontal="center" vertical="center"/>
    </xf>
    <xf numFmtId="164" fontId="1" fillId="0" borderId="3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7" fillId="5" borderId="3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4" xfId="0" applyFont="1" applyFill="1" applyBorder="1"/>
    <xf numFmtId="6" fontId="1" fillId="0" borderId="45" xfId="0" applyNumberFormat="1" applyFont="1" applyBorder="1"/>
    <xf numFmtId="14" fontId="1" fillId="0" borderId="8" xfId="0" applyNumberFormat="1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2" borderId="46" xfId="0" applyFont="1" applyFill="1" applyBorder="1"/>
    <xf numFmtId="6" fontId="1" fillId="0" borderId="46" xfId="0" applyNumberFormat="1" applyFont="1" applyBorder="1"/>
    <xf numFmtId="0" fontId="0" fillId="0" borderId="15" xfId="0" applyFont="1" applyBorder="1" applyAlignment="1">
      <alignment horizontal="center" vertical="center"/>
    </xf>
    <xf numFmtId="164" fontId="0" fillId="0" borderId="15" xfId="0" applyNumberFormat="1" applyFont="1" applyBorder="1" applyAlignment="1">
      <alignment horizontal="center" vertical="center"/>
    </xf>
    <xf numFmtId="0" fontId="1" fillId="2" borderId="47" xfId="0" applyFont="1" applyFill="1" applyBorder="1"/>
    <xf numFmtId="6" fontId="1" fillId="0" borderId="47" xfId="0" applyNumberFormat="1" applyFont="1" applyBorder="1"/>
    <xf numFmtId="14" fontId="1" fillId="0" borderId="39" xfId="0" applyNumberFormat="1" applyFont="1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164" fontId="0" fillId="0" borderId="39" xfId="0" applyNumberFormat="1" applyFont="1" applyBorder="1" applyAlignment="1">
      <alignment horizontal="center" vertical="center"/>
    </xf>
    <xf numFmtId="0" fontId="1" fillId="2" borderId="41" xfId="0" applyFont="1" applyFill="1" applyBorder="1" applyAlignment="1">
      <alignment horizontal="center"/>
    </xf>
    <xf numFmtId="0" fontId="12" fillId="0" borderId="42" xfId="0" applyFont="1" applyBorder="1"/>
    <xf numFmtId="0" fontId="12" fillId="0" borderId="43" xfId="0" applyFont="1" applyBorder="1"/>
    <xf numFmtId="0" fontId="0" fillId="2" borderId="41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2" fillId="0" borderId="20" xfId="0" applyFont="1" applyBorder="1"/>
    <xf numFmtId="0" fontId="12" fillId="0" borderId="34" xfId="0" applyFont="1" applyBorder="1"/>
    <xf numFmtId="0" fontId="12" fillId="0" borderId="38" xfId="0" applyFont="1" applyBorder="1"/>
    <xf numFmtId="0" fontId="1" fillId="6" borderId="29" xfId="0" applyFont="1" applyFill="1" applyBorder="1" applyAlignment="1">
      <alignment horizontal="center" vertical="center"/>
    </xf>
    <xf numFmtId="0" fontId="12" fillId="0" borderId="40" xfId="0" applyFont="1" applyBorder="1"/>
    <xf numFmtId="0" fontId="12" fillId="0" borderId="36" xfId="0" applyFont="1" applyBorder="1"/>
  </cellXfs>
  <cellStyles count="1">
    <cellStyle name="Normal" xfId="0" builtinId="0"/>
  </cellStyles>
  <dxfs count="2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2</xdr:row>
      <xdr:rowOff>0</xdr:rowOff>
    </xdr:from>
    <xdr:ext cx="314325" cy="314325"/>
    <xdr:sp macro="" textlink="">
      <xdr:nvSpPr>
        <xdr:cNvPr id="3" name="Shape 3" descr="https://http2.mlstatic.com/sensor-de-color-tcs3200-con-leds-iluminadores-arduino-mona-D_NQ_NP_625235-MLA31114140973_062019-F.web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5</xdr:col>
      <xdr:colOff>171450</xdr:colOff>
      <xdr:row>2</xdr:row>
      <xdr:rowOff>28575</xdr:rowOff>
    </xdr:from>
    <xdr:ext cx="1304925" cy="1019175"/>
    <xdr:pic>
      <xdr:nvPicPr>
        <xdr:cNvPr id="2" name="image9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266700</xdr:colOff>
      <xdr:row>3</xdr:row>
      <xdr:rowOff>95250</xdr:rowOff>
    </xdr:from>
    <xdr:ext cx="1123950" cy="742950"/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419100</xdr:colOff>
      <xdr:row>4</xdr:row>
      <xdr:rowOff>66675</xdr:rowOff>
    </xdr:from>
    <xdr:ext cx="904875" cy="990600"/>
    <xdr:pic>
      <xdr:nvPicPr>
        <xdr:cNvPr id="5" name="image2.pn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361950</xdr:colOff>
      <xdr:row>5</xdr:row>
      <xdr:rowOff>28575</xdr:rowOff>
    </xdr:from>
    <xdr:ext cx="962025" cy="971550"/>
    <xdr:pic>
      <xdr:nvPicPr>
        <xdr:cNvPr id="6" name="image3.pn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361950</xdr:colOff>
      <xdr:row>6</xdr:row>
      <xdr:rowOff>95250</xdr:rowOff>
    </xdr:from>
    <xdr:ext cx="923925" cy="1009650"/>
    <xdr:pic>
      <xdr:nvPicPr>
        <xdr:cNvPr id="7" name="image5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342900</xdr:colOff>
      <xdr:row>7</xdr:row>
      <xdr:rowOff>114300</xdr:rowOff>
    </xdr:from>
    <xdr:ext cx="1066800" cy="942975"/>
    <xdr:pic>
      <xdr:nvPicPr>
        <xdr:cNvPr id="8" name="image4.jpg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152400</xdr:colOff>
      <xdr:row>8</xdr:row>
      <xdr:rowOff>95250</xdr:rowOff>
    </xdr:from>
    <xdr:ext cx="1409700" cy="1019175"/>
    <xdr:pic>
      <xdr:nvPicPr>
        <xdr:cNvPr id="9" name="image6.png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266700</xdr:colOff>
      <xdr:row>9</xdr:row>
      <xdr:rowOff>142875</xdr:rowOff>
    </xdr:from>
    <xdr:ext cx="1209675" cy="923925"/>
    <xdr:pic>
      <xdr:nvPicPr>
        <xdr:cNvPr id="10" name="image8.jpg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266700</xdr:colOff>
      <xdr:row>10</xdr:row>
      <xdr:rowOff>114300</xdr:rowOff>
    </xdr:from>
    <xdr:ext cx="1257300" cy="962025"/>
    <xdr:pic>
      <xdr:nvPicPr>
        <xdr:cNvPr id="11" name="image7.png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390525</xdr:colOff>
      <xdr:row>11</xdr:row>
      <xdr:rowOff>85725</xdr:rowOff>
    </xdr:from>
    <xdr:ext cx="904875" cy="1038225"/>
    <xdr:pic>
      <xdr:nvPicPr>
        <xdr:cNvPr id="12" name="image12.png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400050</xdr:colOff>
      <xdr:row>12</xdr:row>
      <xdr:rowOff>85725</xdr:rowOff>
    </xdr:from>
    <xdr:ext cx="904875" cy="866775"/>
    <xdr:pic>
      <xdr:nvPicPr>
        <xdr:cNvPr id="13" name="image10.png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295275</xdr:colOff>
      <xdr:row>13</xdr:row>
      <xdr:rowOff>85725</xdr:rowOff>
    </xdr:from>
    <xdr:ext cx="1162050" cy="819150"/>
    <xdr:pic>
      <xdr:nvPicPr>
        <xdr:cNvPr id="14" name="image11.png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pdf1.alldatasheet.com/datasheet-pdf/view/1132391/ETC1/28BYJ-48.html" TargetMode="External"/><Relationship Id="rId1" Type="http://schemas.openxmlformats.org/officeDocument/2006/relationships/hyperlink" Target="https://html.alldatasheet.com/html-pdf/454462/TAOS/TCS3200/96/1/TCS3200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:Z1000"/>
  <sheetViews>
    <sheetView tabSelected="1" topLeftCell="A15" workbookViewId="0">
      <selection activeCell="I26" sqref="I26"/>
    </sheetView>
  </sheetViews>
  <sheetFormatPr baseColWidth="10" defaultColWidth="12.625" defaultRowHeight="15" customHeight="1"/>
  <cols>
    <col min="1" max="1" width="9.375" customWidth="1"/>
    <col min="2" max="2" width="8.125" customWidth="1"/>
    <col min="3" max="3" width="10.125" customWidth="1"/>
    <col min="4" max="5" width="13.75" customWidth="1"/>
    <col min="6" max="6" width="25.875" customWidth="1"/>
    <col min="7" max="8" width="9.375" customWidth="1"/>
    <col min="9" max="9" width="12" customWidth="1"/>
    <col min="10" max="10" width="19.875" customWidth="1"/>
    <col min="11" max="11" width="9.375" customWidth="1"/>
    <col min="12" max="12" width="9.5" customWidth="1"/>
    <col min="13" max="26" width="9.375" customWidth="1"/>
  </cols>
  <sheetData>
    <row r="1" spans="3:26" ht="16.5" customHeight="1">
      <c r="C1" s="2"/>
      <c r="D1" s="2"/>
      <c r="E1" s="2"/>
      <c r="F1" s="2"/>
    </row>
    <row r="2" spans="3:26" ht="16.5" customHeight="1">
      <c r="C2" s="2"/>
      <c r="D2" s="2"/>
      <c r="E2" s="2"/>
      <c r="F2" s="2"/>
      <c r="I2" s="4" t="s">
        <v>0</v>
      </c>
      <c r="J2" s="5">
        <v>3804</v>
      </c>
    </row>
    <row r="3" spans="3:26" ht="16.5" customHeight="1">
      <c r="C3" s="7" t="s">
        <v>3</v>
      </c>
      <c r="D3" s="7" t="s">
        <v>4</v>
      </c>
      <c r="E3" s="7" t="s">
        <v>5</v>
      </c>
      <c r="F3" s="7" t="s">
        <v>6</v>
      </c>
      <c r="I3" s="10" t="s">
        <v>7</v>
      </c>
      <c r="J3" s="13">
        <f>SUM(D4:D252)</f>
        <v>3875</v>
      </c>
    </row>
    <row r="4" spans="3:26" ht="16.5" customHeight="1">
      <c r="C4" s="15">
        <v>43742</v>
      </c>
      <c r="D4" s="20">
        <v>880</v>
      </c>
      <c r="E4" s="25" t="s">
        <v>18</v>
      </c>
      <c r="F4" s="25" t="s">
        <v>24</v>
      </c>
      <c r="J4" s="27"/>
    </row>
    <row r="5" spans="3:26" ht="16.5" customHeight="1">
      <c r="C5" s="33" t="s">
        <v>26</v>
      </c>
      <c r="D5" s="35">
        <v>460</v>
      </c>
      <c r="E5" s="36" t="s">
        <v>32</v>
      </c>
      <c r="F5" s="40" t="s">
        <v>37</v>
      </c>
      <c r="I5" s="43" t="s">
        <v>38</v>
      </c>
      <c r="J5" s="47">
        <f>total/4-SUMIF(dinero_de, I5, gasto)</f>
        <v>-2100.25</v>
      </c>
    </row>
    <row r="6" spans="3:26" ht="16.5" customHeight="1">
      <c r="C6" s="51">
        <v>43748</v>
      </c>
      <c r="D6" s="52">
        <v>461</v>
      </c>
      <c r="E6" s="53" t="s">
        <v>18</v>
      </c>
      <c r="F6" s="36" t="s">
        <v>64</v>
      </c>
      <c r="I6" s="55" t="s">
        <v>45</v>
      </c>
      <c r="J6" s="63">
        <f>total/4-SUMIF(dinero_de, I6, gasto)</f>
        <v>968.75</v>
      </c>
    </row>
    <row r="7" spans="3:26" ht="16.5" customHeight="1">
      <c r="C7" s="51">
        <v>43749</v>
      </c>
      <c r="D7" s="52">
        <v>161</v>
      </c>
      <c r="E7" s="36" t="s">
        <v>18</v>
      </c>
      <c r="F7" s="25" t="s">
        <v>75</v>
      </c>
      <c r="I7" s="55" t="s">
        <v>23</v>
      </c>
      <c r="J7" s="63">
        <f>total/4-SUMIF(dinero_de, I7, gasto)</f>
        <v>338.75</v>
      </c>
    </row>
    <row r="8" spans="3:26" ht="16.5" customHeight="1">
      <c r="C8" s="51">
        <v>43749</v>
      </c>
      <c r="D8" s="52">
        <v>191</v>
      </c>
      <c r="E8" s="36" t="s">
        <v>18</v>
      </c>
      <c r="F8" s="36" t="s">
        <v>77</v>
      </c>
      <c r="I8" s="69" t="s">
        <v>78</v>
      </c>
      <c r="J8" s="71">
        <f>total/4-SUMIF(dinero_de, I8, gasto)</f>
        <v>792.75</v>
      </c>
    </row>
    <row r="9" spans="3:26" ht="16.5" customHeight="1">
      <c r="C9" s="51">
        <v>43750</v>
      </c>
      <c r="D9" s="73">
        <v>90</v>
      </c>
      <c r="E9" s="75" t="s">
        <v>32</v>
      </c>
      <c r="F9" s="75" t="s">
        <v>83</v>
      </c>
    </row>
    <row r="10" spans="3:26" ht="16.5" customHeight="1">
      <c r="C10" s="33">
        <v>43756</v>
      </c>
      <c r="D10" s="52">
        <v>180</v>
      </c>
      <c r="E10" s="36" t="s">
        <v>18</v>
      </c>
      <c r="F10" s="36" t="s">
        <v>85</v>
      </c>
      <c r="L10" s="76"/>
      <c r="Z10" s="3" t="s">
        <v>88</v>
      </c>
    </row>
    <row r="11" spans="3:26" ht="16.5" customHeight="1">
      <c r="C11" s="33">
        <v>43763</v>
      </c>
      <c r="D11" s="52">
        <v>380</v>
      </c>
      <c r="E11" s="36" t="s">
        <v>18</v>
      </c>
      <c r="F11" s="36" t="s">
        <v>89</v>
      </c>
    </row>
    <row r="12" spans="3:26" ht="16.5" customHeight="1">
      <c r="C12" s="33">
        <v>43768</v>
      </c>
      <c r="D12" s="52">
        <v>176</v>
      </c>
      <c r="E12" s="36" t="s">
        <v>92</v>
      </c>
      <c r="F12" s="36" t="s">
        <v>94</v>
      </c>
    </row>
    <row r="13" spans="3:26" ht="16.5" customHeight="1">
      <c r="C13" s="33">
        <v>43771</v>
      </c>
      <c r="D13" s="52">
        <v>776</v>
      </c>
      <c r="E13" s="36" t="s">
        <v>18</v>
      </c>
      <c r="F13" s="36" t="s">
        <v>97</v>
      </c>
    </row>
    <row r="14" spans="3:26" ht="16.5" customHeight="1">
      <c r="C14" s="33">
        <v>43772</v>
      </c>
      <c r="D14" s="52">
        <v>80</v>
      </c>
      <c r="E14" s="36" t="s">
        <v>32</v>
      </c>
      <c r="F14" s="36" t="s">
        <v>100</v>
      </c>
      <c r="J14" s="3" t="s">
        <v>102</v>
      </c>
      <c r="K14" s="68" t="s">
        <v>21</v>
      </c>
    </row>
    <row r="15" spans="3:26" ht="16.5" customHeight="1">
      <c r="C15" s="33">
        <v>43774</v>
      </c>
      <c r="D15" s="52">
        <v>40</v>
      </c>
      <c r="E15" s="36" t="s">
        <v>18</v>
      </c>
      <c r="F15" s="36" t="s">
        <v>105</v>
      </c>
    </row>
    <row r="16" spans="3:26" ht="16.5" customHeight="1">
      <c r="C16" s="33"/>
      <c r="D16" s="52">
        <v>0</v>
      </c>
      <c r="E16" s="36"/>
      <c r="F16" s="36"/>
    </row>
    <row r="17" spans="3:9" ht="16.5" customHeight="1">
      <c r="C17" s="33"/>
      <c r="D17" s="52">
        <v>0</v>
      </c>
      <c r="E17" s="36"/>
      <c r="F17" s="36"/>
    </row>
    <row r="18" spans="3:9" ht="16.5" customHeight="1">
      <c r="C18" s="33"/>
      <c r="D18" s="52">
        <v>0</v>
      </c>
      <c r="E18" s="36"/>
      <c r="F18" s="36"/>
    </row>
    <row r="19" spans="3:9" ht="16.5" customHeight="1">
      <c r="C19" s="33"/>
      <c r="D19" s="52">
        <v>0</v>
      </c>
      <c r="E19" s="36"/>
      <c r="F19" s="36"/>
    </row>
    <row r="20" spans="3:9" ht="16.5" customHeight="1">
      <c r="C20" s="33"/>
      <c r="D20" s="52">
        <v>0</v>
      </c>
      <c r="E20" s="36"/>
      <c r="F20" s="36"/>
    </row>
    <row r="21" spans="3:9" ht="16.5" customHeight="1">
      <c r="C21" s="79"/>
      <c r="D21" s="80">
        <v>0</v>
      </c>
      <c r="E21" s="81"/>
      <c r="F21" s="81"/>
    </row>
    <row r="22" spans="3:9" ht="16.5" customHeight="1">
      <c r="C22" s="1"/>
      <c r="E22" s="1"/>
      <c r="F22" s="1"/>
    </row>
    <row r="23" spans="3:9" ht="16.5" customHeight="1">
      <c r="C23" s="1"/>
      <c r="F23" s="1"/>
    </row>
    <row r="24" spans="3:9" ht="16.5" customHeight="1">
      <c r="C24" s="100" t="s">
        <v>110</v>
      </c>
      <c r="D24" s="101"/>
      <c r="E24" s="101"/>
      <c r="F24" s="102"/>
      <c r="H24" s="103" t="s">
        <v>110</v>
      </c>
      <c r="I24" s="102"/>
    </row>
    <row r="25" spans="3:9" ht="16.5" customHeight="1" thickTop="1" thickBot="1">
      <c r="C25" s="83" t="s">
        <v>116</v>
      </c>
      <c r="D25" s="84" t="s">
        <v>117</v>
      </c>
      <c r="E25" s="84" t="s">
        <v>118</v>
      </c>
      <c r="F25" s="85" t="s">
        <v>119</v>
      </c>
      <c r="H25" s="86" t="s">
        <v>38</v>
      </c>
      <c r="I25" s="87">
        <f>(total/4-SUMIF(dinero_de, H25, gasto))-SUMIF(devuelto_por,H25,cantidad_devuelta)+SUMIF(para,H25,cantidad_devuelta)</f>
        <v>-592.25</v>
      </c>
    </row>
    <row r="26" spans="3:9" ht="16.5" customHeight="1" thickTop="1" thickBot="1">
      <c r="C26" s="88">
        <v>43775</v>
      </c>
      <c r="D26" s="89" t="s">
        <v>120</v>
      </c>
      <c r="E26" s="90">
        <v>300</v>
      </c>
      <c r="F26" s="25" t="s">
        <v>18</v>
      </c>
      <c r="H26" s="91" t="s">
        <v>45</v>
      </c>
      <c r="I26" s="92">
        <f>(total/4-SUMIF(dinero_de, H26, gasto))-SUMIF(devuelto_por,H26,cantidad_devuelta)+SUMIF(para,H26,cantidad_devuelta)</f>
        <v>-0.25</v>
      </c>
    </row>
    <row r="27" spans="3:9" ht="16.5" customHeight="1" thickBot="1">
      <c r="C27" s="88" t="s">
        <v>121</v>
      </c>
      <c r="D27" s="93" t="s">
        <v>120</v>
      </c>
      <c r="E27" s="94">
        <v>250</v>
      </c>
      <c r="F27" s="36" t="s">
        <v>18</v>
      </c>
      <c r="H27" s="91" t="s">
        <v>23</v>
      </c>
      <c r="I27" s="92">
        <f>(total/4-SUMIF(dinero_de, H27, gasto))-SUMIF(devuelto_por,H27,cantidad_devuelta)+SUMIF(para,H27,cantidad_devuelta)</f>
        <v>-0.25</v>
      </c>
    </row>
    <row r="28" spans="3:9" ht="16.5" customHeight="1">
      <c r="C28" s="88">
        <v>43791</v>
      </c>
      <c r="D28" s="93" t="s">
        <v>120</v>
      </c>
      <c r="E28" s="94">
        <v>419</v>
      </c>
      <c r="F28" s="36" t="s">
        <v>18</v>
      </c>
      <c r="H28" s="95" t="s">
        <v>78</v>
      </c>
      <c r="I28" s="96">
        <f>(total/4-SUMIF(dinero_de, H28, gasto))-SUMIF(devuelto_por,H28,cantidad_devuelta)+SUMIF(para,H28,cantidad_devuelta)</f>
        <v>792.75</v>
      </c>
    </row>
    <row r="29" spans="3:9" ht="16.5" customHeight="1">
      <c r="C29" s="88">
        <v>43791</v>
      </c>
      <c r="D29" s="93" t="s">
        <v>32</v>
      </c>
      <c r="E29" s="94">
        <v>339</v>
      </c>
      <c r="F29" s="36" t="s">
        <v>18</v>
      </c>
    </row>
    <row r="30" spans="3:9" ht="16.5" customHeight="1">
      <c r="C30" s="88">
        <v>43791</v>
      </c>
      <c r="D30" s="93" t="s">
        <v>122</v>
      </c>
      <c r="E30" s="94">
        <v>200</v>
      </c>
      <c r="F30" s="36" t="s">
        <v>18</v>
      </c>
    </row>
    <row r="31" spans="3:9" ht="16.5" customHeight="1">
      <c r="C31" s="88"/>
      <c r="D31" s="93"/>
      <c r="E31" s="94">
        <v>0</v>
      </c>
      <c r="F31" s="36"/>
    </row>
    <row r="32" spans="3:9" ht="16.5" customHeight="1">
      <c r="C32" s="88"/>
      <c r="D32" s="93"/>
      <c r="E32" s="94">
        <v>0</v>
      </c>
      <c r="F32" s="36"/>
    </row>
    <row r="33" spans="3:6" ht="16.5" customHeight="1">
      <c r="C33" s="88"/>
      <c r="D33" s="93"/>
      <c r="E33" s="94">
        <v>0</v>
      </c>
      <c r="F33" s="36"/>
    </row>
    <row r="34" spans="3:6" ht="16.5" customHeight="1">
      <c r="C34" s="97"/>
      <c r="D34" s="98"/>
      <c r="E34" s="99">
        <v>0</v>
      </c>
      <c r="F34" s="81"/>
    </row>
    <row r="35" spans="3:6" ht="16.5" customHeight="1">
      <c r="C35" s="1"/>
      <c r="F35" s="1"/>
    </row>
    <row r="36" spans="3:6" ht="16.5" customHeight="1">
      <c r="C36" s="1"/>
      <c r="F36" s="1"/>
    </row>
    <row r="37" spans="3:6" ht="16.5" customHeight="1">
      <c r="F37" s="1"/>
    </row>
    <row r="38" spans="3:6" ht="16.5" customHeight="1">
      <c r="F38" s="1"/>
    </row>
    <row r="39" spans="3:6" ht="16.5" customHeight="1">
      <c r="F39" s="1"/>
    </row>
    <row r="40" spans="3:6" ht="16.5" customHeight="1">
      <c r="F40" s="1"/>
    </row>
    <row r="41" spans="3:6" ht="16.5" customHeight="1">
      <c r="F41" s="1"/>
    </row>
    <row r="42" spans="3:6" ht="16.5" customHeight="1">
      <c r="F42" s="1"/>
    </row>
    <row r="43" spans="3:6" ht="16.5" customHeight="1">
      <c r="F43" s="1"/>
    </row>
    <row r="44" spans="3:6" ht="16.5" customHeight="1">
      <c r="F44" s="1"/>
    </row>
    <row r="45" spans="3:6" ht="16.5" customHeight="1">
      <c r="F45" s="1"/>
    </row>
    <row r="46" spans="3:6" ht="16.5" customHeight="1">
      <c r="F46" s="1"/>
    </row>
    <row r="47" spans="3:6" ht="16.5" customHeight="1">
      <c r="F47" s="1"/>
    </row>
    <row r="48" spans="3:6" ht="16.5" customHeight="1">
      <c r="F48" s="1"/>
    </row>
    <row r="49" spans="6:6" ht="16.5" customHeight="1">
      <c r="F49" s="1"/>
    </row>
    <row r="50" spans="6:6" ht="16.5" customHeight="1">
      <c r="F50" s="1"/>
    </row>
    <row r="51" spans="6:6" ht="16.5" customHeight="1">
      <c r="F51" s="1"/>
    </row>
    <row r="52" spans="6:6" ht="16.5" customHeight="1">
      <c r="F52" s="1"/>
    </row>
    <row r="53" spans="6:6" ht="16.5" customHeight="1">
      <c r="F53" s="1"/>
    </row>
    <row r="54" spans="6:6" ht="16.5" customHeight="1">
      <c r="F54" s="1"/>
    </row>
    <row r="55" spans="6:6" ht="16.5" customHeight="1">
      <c r="F55" s="1"/>
    </row>
    <row r="56" spans="6:6" ht="16.5" customHeight="1">
      <c r="F56" s="1"/>
    </row>
    <row r="57" spans="6:6" ht="16.5" customHeight="1">
      <c r="F57" s="1"/>
    </row>
    <row r="58" spans="6:6" ht="16.5" customHeight="1">
      <c r="F58" s="1"/>
    </row>
    <row r="59" spans="6:6" ht="16.5" customHeight="1">
      <c r="F59" s="1"/>
    </row>
    <row r="60" spans="6:6" ht="16.5" customHeight="1">
      <c r="F60" s="1"/>
    </row>
    <row r="61" spans="6:6" ht="16.5" customHeight="1">
      <c r="F61" s="1"/>
    </row>
    <row r="62" spans="6:6" ht="16.5" customHeight="1">
      <c r="F62" s="1"/>
    </row>
    <row r="63" spans="6:6" ht="16.5" customHeight="1">
      <c r="F63" s="1"/>
    </row>
    <row r="64" spans="6:6" ht="16.5" customHeight="1">
      <c r="F64" s="1"/>
    </row>
    <row r="65" spans="6:6" ht="16.5" customHeight="1">
      <c r="F65" s="1"/>
    </row>
    <row r="66" spans="6:6" ht="16.5" customHeight="1">
      <c r="F66" s="1"/>
    </row>
    <row r="67" spans="6:6" ht="16.5" customHeight="1">
      <c r="F67" s="1"/>
    </row>
    <row r="68" spans="6:6" ht="16.5" customHeight="1">
      <c r="F68" s="1"/>
    </row>
    <row r="69" spans="6:6" ht="16.5" customHeight="1">
      <c r="F69" s="1"/>
    </row>
    <row r="70" spans="6:6" ht="16.5" customHeight="1">
      <c r="F70" s="1"/>
    </row>
    <row r="71" spans="6:6" ht="16.5" customHeight="1">
      <c r="F71" s="1"/>
    </row>
    <row r="72" spans="6:6" ht="16.5" customHeight="1">
      <c r="F72" s="1"/>
    </row>
    <row r="73" spans="6:6" ht="16.5" customHeight="1">
      <c r="F73" s="1"/>
    </row>
    <row r="74" spans="6:6" ht="16.5" customHeight="1">
      <c r="F74" s="1"/>
    </row>
    <row r="75" spans="6:6" ht="16.5" customHeight="1">
      <c r="F75" s="1"/>
    </row>
    <row r="76" spans="6:6" ht="16.5" customHeight="1">
      <c r="F76" s="1"/>
    </row>
    <row r="77" spans="6:6" ht="16.5" customHeight="1">
      <c r="F77" s="1"/>
    </row>
    <row r="78" spans="6:6" ht="16.5" customHeight="1">
      <c r="F78" s="1"/>
    </row>
    <row r="79" spans="6:6" ht="16.5" customHeight="1">
      <c r="F79" s="1"/>
    </row>
    <row r="80" spans="6:6" ht="16.5" customHeight="1">
      <c r="F80" s="1"/>
    </row>
    <row r="81" spans="6:6" ht="16.5" customHeight="1">
      <c r="F81" s="1"/>
    </row>
    <row r="82" spans="6:6" ht="16.5" customHeight="1">
      <c r="F82" s="1"/>
    </row>
    <row r="83" spans="6:6" ht="16.5" customHeight="1">
      <c r="F83" s="1"/>
    </row>
    <row r="84" spans="6:6" ht="16.5" customHeight="1">
      <c r="F84" s="1"/>
    </row>
    <row r="85" spans="6:6" ht="16.5" customHeight="1">
      <c r="F85" s="1"/>
    </row>
    <row r="86" spans="6:6" ht="16.5" customHeight="1">
      <c r="F86" s="1"/>
    </row>
    <row r="87" spans="6:6" ht="16.5" customHeight="1">
      <c r="F87" s="1"/>
    </row>
    <row r="88" spans="6:6" ht="16.5" customHeight="1">
      <c r="F88" s="1"/>
    </row>
    <row r="89" spans="6:6" ht="16.5" customHeight="1">
      <c r="F89" s="1"/>
    </row>
    <row r="90" spans="6:6" ht="16.5" customHeight="1">
      <c r="F90" s="1"/>
    </row>
    <row r="91" spans="6:6" ht="16.5" customHeight="1">
      <c r="F91" s="1"/>
    </row>
    <row r="92" spans="6:6" ht="16.5" customHeight="1">
      <c r="F92" s="1"/>
    </row>
    <row r="93" spans="6:6" ht="16.5" customHeight="1">
      <c r="F93" s="1"/>
    </row>
    <row r="94" spans="6:6" ht="16.5" customHeight="1">
      <c r="F94" s="1"/>
    </row>
    <row r="95" spans="6:6" ht="16.5" customHeight="1">
      <c r="F95" s="1"/>
    </row>
    <row r="96" spans="6:6" ht="16.5" customHeight="1">
      <c r="F96" s="1"/>
    </row>
    <row r="97" spans="6:6" ht="16.5" customHeight="1">
      <c r="F97" s="1"/>
    </row>
    <row r="98" spans="6:6" ht="16.5" customHeight="1">
      <c r="F98" s="1"/>
    </row>
    <row r="99" spans="6:6" ht="16.5" customHeight="1">
      <c r="F99" s="1"/>
    </row>
    <row r="100" spans="6:6" ht="16.5" customHeight="1">
      <c r="F100" s="1"/>
    </row>
    <row r="101" spans="6:6" ht="16.5" customHeight="1">
      <c r="F101" s="1"/>
    </row>
    <row r="102" spans="6:6" ht="16.5" customHeight="1">
      <c r="F102" s="1"/>
    </row>
    <row r="103" spans="6:6" ht="16.5" customHeight="1">
      <c r="F103" s="1"/>
    </row>
    <row r="104" spans="6:6" ht="16.5" customHeight="1">
      <c r="F104" s="1"/>
    </row>
    <row r="105" spans="6:6" ht="16.5" customHeight="1">
      <c r="F105" s="1"/>
    </row>
    <row r="106" spans="6:6" ht="16.5" customHeight="1">
      <c r="F106" s="1"/>
    </row>
    <row r="107" spans="6:6" ht="16.5" customHeight="1">
      <c r="F107" s="1"/>
    </row>
    <row r="108" spans="6:6" ht="16.5" customHeight="1">
      <c r="F108" s="1"/>
    </row>
    <row r="109" spans="6:6" ht="16.5" customHeight="1">
      <c r="F109" s="1"/>
    </row>
    <row r="110" spans="6:6" ht="16.5" customHeight="1">
      <c r="F110" s="1"/>
    </row>
    <row r="111" spans="6:6" ht="16.5" customHeight="1">
      <c r="F111" s="1"/>
    </row>
    <row r="112" spans="6:6" ht="16.5" customHeight="1">
      <c r="F112" s="1"/>
    </row>
    <row r="113" spans="6:6" ht="16.5" customHeight="1">
      <c r="F113" s="1"/>
    </row>
    <row r="114" spans="6:6" ht="16.5" customHeight="1">
      <c r="F114" s="1"/>
    </row>
    <row r="115" spans="6:6" ht="16.5" customHeight="1">
      <c r="F115" s="1"/>
    </row>
    <row r="116" spans="6:6" ht="16.5" customHeight="1">
      <c r="F116" s="1"/>
    </row>
    <row r="117" spans="6:6" ht="16.5" customHeight="1">
      <c r="F117" s="1"/>
    </row>
    <row r="118" spans="6:6" ht="16.5" customHeight="1">
      <c r="F118" s="1"/>
    </row>
    <row r="119" spans="6:6" ht="16.5" customHeight="1">
      <c r="F119" s="1"/>
    </row>
    <row r="120" spans="6:6" ht="16.5" customHeight="1">
      <c r="F120" s="1"/>
    </row>
    <row r="121" spans="6:6" ht="16.5" customHeight="1">
      <c r="F121" s="1"/>
    </row>
    <row r="122" spans="6:6" ht="16.5" customHeight="1">
      <c r="F122" s="1"/>
    </row>
    <row r="123" spans="6:6" ht="16.5" customHeight="1">
      <c r="F123" s="1"/>
    </row>
    <row r="124" spans="6:6" ht="16.5" customHeight="1">
      <c r="F124" s="1"/>
    </row>
    <row r="125" spans="6:6" ht="16.5" customHeight="1">
      <c r="F125" s="1"/>
    </row>
    <row r="126" spans="6:6" ht="16.5" customHeight="1">
      <c r="F126" s="1"/>
    </row>
    <row r="127" spans="6:6" ht="16.5" customHeight="1">
      <c r="F127" s="1"/>
    </row>
    <row r="128" spans="6:6" ht="16.5" customHeight="1">
      <c r="F128" s="1"/>
    </row>
    <row r="129" spans="6:6" ht="16.5" customHeight="1">
      <c r="F129" s="1"/>
    </row>
    <row r="130" spans="6:6" ht="16.5" customHeight="1">
      <c r="F130" s="1"/>
    </row>
    <row r="131" spans="6:6" ht="16.5" customHeight="1">
      <c r="F131" s="1"/>
    </row>
    <row r="132" spans="6:6" ht="16.5" customHeight="1">
      <c r="F132" s="1"/>
    </row>
    <row r="133" spans="6:6" ht="16.5" customHeight="1">
      <c r="F133" s="1"/>
    </row>
    <row r="134" spans="6:6" ht="16.5" customHeight="1">
      <c r="F134" s="1"/>
    </row>
    <row r="135" spans="6:6" ht="16.5" customHeight="1">
      <c r="F135" s="1"/>
    </row>
    <row r="136" spans="6:6" ht="16.5" customHeight="1">
      <c r="F136" s="1"/>
    </row>
    <row r="137" spans="6:6" ht="16.5" customHeight="1">
      <c r="F137" s="1"/>
    </row>
    <row r="138" spans="6:6" ht="16.5" customHeight="1">
      <c r="F138" s="1"/>
    </row>
    <row r="139" spans="6:6" ht="16.5" customHeight="1">
      <c r="F139" s="1"/>
    </row>
    <row r="140" spans="6:6" ht="16.5" customHeight="1">
      <c r="F140" s="1"/>
    </row>
    <row r="141" spans="6:6" ht="16.5" customHeight="1">
      <c r="F141" s="1"/>
    </row>
    <row r="142" spans="6:6" ht="16.5" customHeight="1">
      <c r="F142" s="1"/>
    </row>
    <row r="143" spans="6:6" ht="16.5" customHeight="1">
      <c r="F143" s="1"/>
    </row>
    <row r="144" spans="6:6" ht="16.5" customHeight="1">
      <c r="F144" s="1"/>
    </row>
    <row r="145" spans="6:6" ht="16.5" customHeight="1">
      <c r="F145" s="1"/>
    </row>
    <row r="146" spans="6:6" ht="16.5" customHeight="1">
      <c r="F146" s="1"/>
    </row>
    <row r="147" spans="6:6" ht="16.5" customHeight="1">
      <c r="F147" s="1"/>
    </row>
    <row r="148" spans="6:6" ht="16.5" customHeight="1">
      <c r="F148" s="1"/>
    </row>
    <row r="149" spans="6:6" ht="16.5" customHeight="1">
      <c r="F149" s="1"/>
    </row>
    <row r="150" spans="6:6" ht="16.5" customHeight="1">
      <c r="F150" s="1"/>
    </row>
    <row r="151" spans="6:6" ht="16.5" customHeight="1">
      <c r="F151" s="1"/>
    </row>
    <row r="152" spans="6:6" ht="16.5" customHeight="1">
      <c r="F152" s="1"/>
    </row>
    <row r="153" spans="6:6" ht="16.5" customHeight="1">
      <c r="F153" s="1"/>
    </row>
    <row r="154" spans="6:6" ht="16.5" customHeight="1">
      <c r="F154" s="1"/>
    </row>
    <row r="155" spans="6:6" ht="16.5" customHeight="1">
      <c r="F155" s="1"/>
    </row>
    <row r="156" spans="6:6" ht="16.5" customHeight="1">
      <c r="F156" s="1"/>
    </row>
    <row r="157" spans="6:6" ht="16.5" customHeight="1">
      <c r="F157" s="1"/>
    </row>
    <row r="158" spans="6:6" ht="16.5" customHeight="1">
      <c r="F158" s="1"/>
    </row>
    <row r="159" spans="6:6" ht="16.5" customHeight="1">
      <c r="F159" s="1"/>
    </row>
    <row r="160" spans="6:6" ht="16.5" customHeight="1">
      <c r="F160" s="1"/>
    </row>
    <row r="161" spans="6:6" ht="16.5" customHeight="1">
      <c r="F161" s="1"/>
    </row>
    <row r="162" spans="6:6" ht="16.5" customHeight="1">
      <c r="F162" s="1"/>
    </row>
    <row r="163" spans="6:6" ht="16.5" customHeight="1">
      <c r="F163" s="1"/>
    </row>
    <row r="164" spans="6:6" ht="16.5" customHeight="1">
      <c r="F164" s="1"/>
    </row>
    <row r="165" spans="6:6" ht="16.5" customHeight="1">
      <c r="F165" s="1"/>
    </row>
    <row r="166" spans="6:6" ht="16.5" customHeight="1">
      <c r="F166" s="1"/>
    </row>
    <row r="167" spans="6:6" ht="16.5" customHeight="1">
      <c r="F167" s="1"/>
    </row>
    <row r="168" spans="6:6" ht="16.5" customHeight="1">
      <c r="F168" s="1"/>
    </row>
    <row r="169" spans="6:6" ht="16.5" customHeight="1">
      <c r="F169" s="1"/>
    </row>
    <row r="170" spans="6:6" ht="16.5" customHeight="1">
      <c r="F170" s="1"/>
    </row>
    <row r="171" spans="6:6" ht="16.5" customHeight="1">
      <c r="F171" s="1"/>
    </row>
    <row r="172" spans="6:6" ht="16.5" customHeight="1">
      <c r="F172" s="1"/>
    </row>
    <row r="173" spans="6:6" ht="16.5" customHeight="1">
      <c r="F173" s="1"/>
    </row>
    <row r="174" spans="6:6" ht="16.5" customHeight="1">
      <c r="F174" s="1"/>
    </row>
    <row r="175" spans="6:6" ht="16.5" customHeight="1">
      <c r="F175" s="1"/>
    </row>
    <row r="176" spans="6:6" ht="16.5" customHeight="1">
      <c r="F176" s="1"/>
    </row>
    <row r="177" spans="6:6" ht="16.5" customHeight="1">
      <c r="F177" s="1"/>
    </row>
    <row r="178" spans="6:6" ht="16.5" customHeight="1">
      <c r="F178" s="1"/>
    </row>
    <row r="179" spans="6:6" ht="16.5" customHeight="1">
      <c r="F179" s="1"/>
    </row>
    <row r="180" spans="6:6" ht="16.5" customHeight="1">
      <c r="F180" s="1"/>
    </row>
    <row r="181" spans="6:6" ht="16.5" customHeight="1">
      <c r="F181" s="1"/>
    </row>
    <row r="182" spans="6:6" ht="16.5" customHeight="1">
      <c r="F182" s="1"/>
    </row>
    <row r="183" spans="6:6" ht="16.5" customHeight="1">
      <c r="F183" s="1"/>
    </row>
    <row r="184" spans="6:6" ht="16.5" customHeight="1">
      <c r="F184" s="1"/>
    </row>
    <row r="185" spans="6:6" ht="16.5" customHeight="1">
      <c r="F185" s="1"/>
    </row>
    <row r="186" spans="6:6" ht="16.5" customHeight="1">
      <c r="F186" s="1"/>
    </row>
    <row r="187" spans="6:6" ht="16.5" customHeight="1">
      <c r="F187" s="1"/>
    </row>
    <row r="188" spans="6:6" ht="16.5" customHeight="1">
      <c r="F188" s="1"/>
    </row>
    <row r="189" spans="6:6" ht="16.5" customHeight="1">
      <c r="F189" s="1"/>
    </row>
    <row r="190" spans="6:6" ht="16.5" customHeight="1">
      <c r="F190" s="1"/>
    </row>
    <row r="191" spans="6:6" ht="16.5" customHeight="1">
      <c r="F191" s="1"/>
    </row>
    <row r="192" spans="6:6" ht="16.5" customHeight="1">
      <c r="F192" s="1"/>
    </row>
    <row r="193" spans="6:6" ht="16.5" customHeight="1">
      <c r="F193" s="1"/>
    </row>
    <row r="194" spans="6:6" ht="16.5" customHeight="1">
      <c r="F194" s="1"/>
    </row>
    <row r="195" spans="6:6" ht="16.5" customHeight="1">
      <c r="F195" s="1"/>
    </row>
    <row r="196" spans="6:6" ht="16.5" customHeight="1">
      <c r="F196" s="1"/>
    </row>
    <row r="197" spans="6:6" ht="16.5" customHeight="1">
      <c r="F197" s="1"/>
    </row>
    <row r="198" spans="6:6" ht="16.5" customHeight="1">
      <c r="F198" s="1"/>
    </row>
    <row r="199" spans="6:6" ht="16.5" customHeight="1">
      <c r="F199" s="1"/>
    </row>
    <row r="200" spans="6:6" ht="16.5" customHeight="1">
      <c r="F200" s="1"/>
    </row>
    <row r="201" spans="6:6" ht="16.5" customHeight="1">
      <c r="F201" s="1"/>
    </row>
    <row r="202" spans="6:6" ht="16.5" customHeight="1">
      <c r="F202" s="1"/>
    </row>
    <row r="203" spans="6:6" ht="16.5" customHeight="1">
      <c r="F203" s="1"/>
    </row>
    <row r="204" spans="6:6" ht="16.5" customHeight="1">
      <c r="F204" s="1"/>
    </row>
    <row r="205" spans="6:6" ht="16.5" customHeight="1">
      <c r="F205" s="1"/>
    </row>
    <row r="206" spans="6:6" ht="16.5" customHeight="1">
      <c r="F206" s="1"/>
    </row>
    <row r="207" spans="6:6" ht="16.5" customHeight="1">
      <c r="F207" s="1"/>
    </row>
    <row r="208" spans="6:6" ht="16.5" customHeight="1">
      <c r="F208" s="1"/>
    </row>
    <row r="209" spans="6:6" ht="16.5" customHeight="1">
      <c r="F209" s="1"/>
    </row>
    <row r="210" spans="6:6" ht="16.5" customHeight="1">
      <c r="F210" s="1"/>
    </row>
    <row r="211" spans="6:6" ht="16.5" customHeight="1">
      <c r="F211" s="1"/>
    </row>
    <row r="212" spans="6:6" ht="16.5" customHeight="1">
      <c r="F212" s="1"/>
    </row>
    <row r="213" spans="6:6" ht="16.5" customHeight="1">
      <c r="F213" s="1"/>
    </row>
    <row r="214" spans="6:6" ht="16.5" customHeight="1">
      <c r="F214" s="1"/>
    </row>
    <row r="215" spans="6:6" ht="16.5" customHeight="1">
      <c r="F215" s="1"/>
    </row>
    <row r="216" spans="6:6" ht="16.5" customHeight="1">
      <c r="F216" s="1"/>
    </row>
    <row r="217" spans="6:6" ht="16.5" customHeight="1">
      <c r="F217" s="1"/>
    </row>
    <row r="218" spans="6:6" ht="16.5" customHeight="1">
      <c r="F218" s="1"/>
    </row>
    <row r="219" spans="6:6" ht="16.5" customHeight="1">
      <c r="F219" s="1"/>
    </row>
    <row r="220" spans="6:6" ht="16.5" customHeight="1">
      <c r="F220" s="1"/>
    </row>
    <row r="221" spans="6:6" ht="16.5" customHeight="1">
      <c r="F221" s="1"/>
    </row>
    <row r="222" spans="6:6" ht="16.5" customHeight="1">
      <c r="F222" s="1"/>
    </row>
    <row r="223" spans="6:6" ht="16.5" customHeight="1">
      <c r="F223" s="1"/>
    </row>
    <row r="224" spans="6:6" ht="16.5" customHeight="1">
      <c r="F224" s="1"/>
    </row>
    <row r="225" spans="6:6" ht="16.5" customHeight="1">
      <c r="F225" s="1"/>
    </row>
    <row r="226" spans="6:6" ht="16.5" customHeight="1">
      <c r="F226" s="1"/>
    </row>
    <row r="227" spans="6:6" ht="16.5" customHeight="1">
      <c r="F227" s="1"/>
    </row>
    <row r="228" spans="6:6" ht="16.5" customHeight="1">
      <c r="F228" s="1"/>
    </row>
    <row r="229" spans="6:6" ht="16.5" customHeight="1">
      <c r="F229" s="1"/>
    </row>
    <row r="230" spans="6:6" ht="16.5" customHeight="1">
      <c r="F230" s="1"/>
    </row>
    <row r="231" spans="6:6" ht="16.5" customHeight="1">
      <c r="F231" s="1"/>
    </row>
    <row r="232" spans="6:6" ht="16.5" customHeight="1">
      <c r="F232" s="1"/>
    </row>
    <row r="233" spans="6:6" ht="16.5" customHeight="1">
      <c r="F233" s="1"/>
    </row>
    <row r="234" spans="6:6" ht="16.5" customHeight="1">
      <c r="F234" s="1"/>
    </row>
    <row r="235" spans="6:6" ht="16.5" customHeight="1">
      <c r="F235" s="1"/>
    </row>
    <row r="236" spans="6:6" ht="16.5" customHeight="1">
      <c r="F236" s="1"/>
    </row>
    <row r="237" spans="6:6" ht="16.5" customHeight="1">
      <c r="F237" s="1"/>
    </row>
    <row r="238" spans="6:6" ht="16.5" customHeight="1">
      <c r="F238" s="1"/>
    </row>
    <row r="239" spans="6:6" ht="16.5" customHeight="1">
      <c r="F239" s="1"/>
    </row>
    <row r="240" spans="6:6" ht="16.5" customHeight="1">
      <c r="F240" s="1"/>
    </row>
    <row r="241" spans="6:6" ht="16.5" customHeight="1">
      <c r="F241" s="1"/>
    </row>
    <row r="242" spans="6:6" ht="16.5" customHeight="1">
      <c r="F242" s="1"/>
    </row>
    <row r="243" spans="6:6" ht="16.5" customHeight="1">
      <c r="F243" s="1"/>
    </row>
    <row r="244" spans="6:6" ht="16.5" customHeight="1">
      <c r="F244" s="1"/>
    </row>
    <row r="245" spans="6:6" ht="16.5" customHeight="1">
      <c r="F245" s="1"/>
    </row>
    <row r="246" spans="6:6" ht="16.5" customHeight="1">
      <c r="F246" s="1"/>
    </row>
    <row r="247" spans="6:6" ht="16.5" customHeight="1">
      <c r="F247" s="1"/>
    </row>
    <row r="248" spans="6:6" ht="16.5" customHeight="1">
      <c r="F248" s="1"/>
    </row>
    <row r="249" spans="6:6" ht="16.5" customHeight="1">
      <c r="F249" s="1"/>
    </row>
    <row r="250" spans="6:6" ht="16.5" customHeight="1">
      <c r="F250" s="1"/>
    </row>
    <row r="251" spans="6:6" ht="16.5" customHeight="1">
      <c r="F251" s="1"/>
    </row>
    <row r="252" spans="6:6" ht="16.5" customHeight="1">
      <c r="F252" s="1"/>
    </row>
    <row r="253" spans="6:6" ht="16.5" customHeight="1">
      <c r="F253" s="1"/>
    </row>
    <row r="254" spans="6:6" ht="16.5" customHeight="1">
      <c r="F254" s="1"/>
    </row>
    <row r="255" spans="6:6" ht="16.5" customHeight="1">
      <c r="F255" s="1"/>
    </row>
    <row r="256" spans="6:6" ht="16.5" customHeight="1">
      <c r="F256" s="1"/>
    </row>
    <row r="257" spans="6:6" ht="16.5" customHeight="1">
      <c r="F257" s="1"/>
    </row>
    <row r="258" spans="6:6" ht="16.5" customHeight="1">
      <c r="F258" s="1"/>
    </row>
    <row r="259" spans="6:6" ht="16.5" customHeight="1">
      <c r="F259" s="1"/>
    </row>
    <row r="260" spans="6:6" ht="16.5" customHeight="1">
      <c r="F260" s="1"/>
    </row>
    <row r="261" spans="6:6" ht="16.5" customHeight="1">
      <c r="F261" s="1"/>
    </row>
    <row r="262" spans="6:6" ht="16.5" customHeight="1">
      <c r="F262" s="1"/>
    </row>
    <row r="263" spans="6:6" ht="16.5" customHeight="1">
      <c r="F263" s="1"/>
    </row>
    <row r="264" spans="6:6" ht="16.5" customHeight="1">
      <c r="F264" s="1"/>
    </row>
    <row r="265" spans="6:6" ht="16.5" customHeight="1">
      <c r="F265" s="1"/>
    </row>
    <row r="266" spans="6:6" ht="16.5" customHeight="1">
      <c r="F266" s="1"/>
    </row>
    <row r="267" spans="6:6" ht="16.5" customHeight="1">
      <c r="F267" s="1"/>
    </row>
    <row r="268" spans="6:6" ht="16.5" customHeight="1">
      <c r="F268" s="1"/>
    </row>
    <row r="269" spans="6:6" ht="16.5" customHeight="1">
      <c r="F269" s="1"/>
    </row>
    <row r="270" spans="6:6" ht="16.5" customHeight="1">
      <c r="F270" s="1"/>
    </row>
    <row r="271" spans="6:6" ht="16.5" customHeight="1">
      <c r="F271" s="1"/>
    </row>
    <row r="272" spans="6:6" ht="16.5" customHeight="1">
      <c r="F272" s="1"/>
    </row>
    <row r="273" spans="6:6" ht="16.5" customHeight="1">
      <c r="F273" s="1"/>
    </row>
    <row r="274" spans="6:6" ht="16.5" customHeight="1">
      <c r="F274" s="1"/>
    </row>
    <row r="275" spans="6:6" ht="16.5" customHeight="1">
      <c r="F275" s="1"/>
    </row>
    <row r="276" spans="6:6" ht="16.5" customHeight="1">
      <c r="F276" s="1"/>
    </row>
    <row r="277" spans="6:6" ht="16.5" customHeight="1">
      <c r="F277" s="1"/>
    </row>
    <row r="278" spans="6:6" ht="16.5" customHeight="1">
      <c r="F278" s="1"/>
    </row>
    <row r="279" spans="6:6" ht="16.5" customHeight="1">
      <c r="F279" s="1"/>
    </row>
    <row r="280" spans="6:6" ht="16.5" customHeight="1">
      <c r="F280" s="1"/>
    </row>
    <row r="281" spans="6:6" ht="16.5" customHeight="1">
      <c r="F281" s="1"/>
    </row>
    <row r="282" spans="6:6" ht="16.5" customHeight="1">
      <c r="F282" s="1"/>
    </row>
    <row r="283" spans="6:6" ht="16.5" customHeight="1">
      <c r="F283" s="1"/>
    </row>
    <row r="284" spans="6:6" ht="16.5" customHeight="1">
      <c r="F284" s="1"/>
    </row>
    <row r="285" spans="6:6" ht="16.5" customHeight="1">
      <c r="F285" s="1"/>
    </row>
    <row r="286" spans="6:6" ht="16.5" customHeight="1">
      <c r="F286" s="1"/>
    </row>
    <row r="287" spans="6:6" ht="16.5" customHeight="1">
      <c r="F287" s="1"/>
    </row>
    <row r="288" spans="6:6" ht="16.5" customHeight="1">
      <c r="F288" s="1"/>
    </row>
    <row r="289" spans="6:6" ht="16.5" customHeight="1">
      <c r="F289" s="1"/>
    </row>
    <row r="290" spans="6:6" ht="16.5" customHeight="1">
      <c r="F290" s="1"/>
    </row>
    <row r="291" spans="6:6" ht="16.5" customHeight="1">
      <c r="F291" s="1"/>
    </row>
    <row r="292" spans="6:6" ht="16.5" customHeight="1">
      <c r="F292" s="1"/>
    </row>
    <row r="293" spans="6:6" ht="16.5" customHeight="1">
      <c r="F293" s="1"/>
    </row>
    <row r="294" spans="6:6" ht="16.5" customHeight="1">
      <c r="F294" s="1"/>
    </row>
    <row r="295" spans="6:6" ht="16.5" customHeight="1">
      <c r="F295" s="1"/>
    </row>
    <row r="296" spans="6:6" ht="16.5" customHeight="1">
      <c r="F296" s="1"/>
    </row>
    <row r="297" spans="6:6" ht="16.5" customHeight="1">
      <c r="F297" s="1"/>
    </row>
    <row r="298" spans="6:6" ht="16.5" customHeight="1">
      <c r="F298" s="1"/>
    </row>
    <row r="299" spans="6:6" ht="16.5" customHeight="1">
      <c r="F299" s="1"/>
    </row>
    <row r="300" spans="6:6" ht="16.5" customHeight="1">
      <c r="F300" s="1"/>
    </row>
    <row r="301" spans="6:6" ht="16.5" customHeight="1">
      <c r="F301" s="1"/>
    </row>
    <row r="302" spans="6:6" ht="16.5" customHeight="1">
      <c r="F302" s="1"/>
    </row>
    <row r="303" spans="6:6" ht="16.5" customHeight="1">
      <c r="F303" s="1"/>
    </row>
    <row r="304" spans="6:6" ht="16.5" customHeight="1">
      <c r="F304" s="1"/>
    </row>
    <row r="305" spans="6:6" ht="16.5" customHeight="1">
      <c r="F305" s="1"/>
    </row>
    <row r="306" spans="6:6" ht="16.5" customHeight="1">
      <c r="F306" s="1"/>
    </row>
    <row r="307" spans="6:6" ht="16.5" customHeight="1">
      <c r="F307" s="1"/>
    </row>
    <row r="308" spans="6:6" ht="16.5" customHeight="1">
      <c r="F308" s="1"/>
    </row>
    <row r="309" spans="6:6" ht="16.5" customHeight="1">
      <c r="F309" s="1"/>
    </row>
    <row r="310" spans="6:6" ht="16.5" customHeight="1">
      <c r="F310" s="1"/>
    </row>
    <row r="311" spans="6:6" ht="16.5" customHeight="1">
      <c r="F311" s="1"/>
    </row>
    <row r="312" spans="6:6" ht="16.5" customHeight="1">
      <c r="F312" s="1"/>
    </row>
    <row r="313" spans="6:6" ht="16.5" customHeight="1">
      <c r="F313" s="1"/>
    </row>
    <row r="314" spans="6:6" ht="16.5" customHeight="1">
      <c r="F314" s="1"/>
    </row>
    <row r="315" spans="6:6" ht="16.5" customHeight="1">
      <c r="F315" s="1"/>
    </row>
    <row r="316" spans="6:6" ht="16.5" customHeight="1">
      <c r="F316" s="1"/>
    </row>
    <row r="317" spans="6:6" ht="16.5" customHeight="1">
      <c r="F317" s="1"/>
    </row>
    <row r="318" spans="6:6" ht="16.5" customHeight="1">
      <c r="F318" s="1"/>
    </row>
    <row r="319" spans="6:6" ht="16.5" customHeight="1">
      <c r="F319" s="1"/>
    </row>
    <row r="320" spans="6:6" ht="16.5" customHeight="1">
      <c r="F320" s="1"/>
    </row>
    <row r="321" spans="6:6" ht="16.5" customHeight="1">
      <c r="F321" s="1"/>
    </row>
    <row r="322" spans="6:6" ht="16.5" customHeight="1">
      <c r="F322" s="1"/>
    </row>
    <row r="323" spans="6:6" ht="16.5" customHeight="1">
      <c r="F323" s="1"/>
    </row>
    <row r="324" spans="6:6" ht="16.5" customHeight="1">
      <c r="F324" s="1"/>
    </row>
    <row r="325" spans="6:6" ht="16.5" customHeight="1">
      <c r="F325" s="1"/>
    </row>
    <row r="326" spans="6:6" ht="16.5" customHeight="1">
      <c r="F326" s="1"/>
    </row>
    <row r="327" spans="6:6" ht="16.5" customHeight="1">
      <c r="F327" s="1"/>
    </row>
    <row r="328" spans="6:6" ht="16.5" customHeight="1">
      <c r="F328" s="1"/>
    </row>
    <row r="329" spans="6:6" ht="16.5" customHeight="1">
      <c r="F329" s="1"/>
    </row>
    <row r="330" spans="6:6" ht="16.5" customHeight="1">
      <c r="F330" s="1"/>
    </row>
    <row r="331" spans="6:6" ht="16.5" customHeight="1">
      <c r="F331" s="1"/>
    </row>
    <row r="332" spans="6:6" ht="16.5" customHeight="1">
      <c r="F332" s="1"/>
    </row>
    <row r="333" spans="6:6" ht="16.5" customHeight="1">
      <c r="F333" s="1"/>
    </row>
    <row r="334" spans="6:6" ht="16.5" customHeight="1">
      <c r="F334" s="1"/>
    </row>
    <row r="335" spans="6:6" ht="16.5" customHeight="1">
      <c r="F335" s="1"/>
    </row>
    <row r="336" spans="6:6" ht="16.5" customHeight="1">
      <c r="F336" s="1"/>
    </row>
    <row r="337" spans="6:6" ht="16.5" customHeight="1">
      <c r="F337" s="1"/>
    </row>
    <row r="338" spans="6:6" ht="16.5" customHeight="1">
      <c r="F338" s="1"/>
    </row>
    <row r="339" spans="6:6" ht="16.5" customHeight="1">
      <c r="F339" s="1"/>
    </row>
    <row r="340" spans="6:6" ht="16.5" customHeight="1">
      <c r="F340" s="1"/>
    </row>
    <row r="341" spans="6:6" ht="16.5" customHeight="1">
      <c r="F341" s="1"/>
    </row>
    <row r="342" spans="6:6" ht="16.5" customHeight="1">
      <c r="F342" s="1"/>
    </row>
    <row r="343" spans="6:6" ht="16.5" customHeight="1">
      <c r="F343" s="1"/>
    </row>
    <row r="344" spans="6:6" ht="16.5" customHeight="1">
      <c r="F344" s="1"/>
    </row>
    <row r="345" spans="6:6" ht="16.5" customHeight="1">
      <c r="F345" s="1"/>
    </row>
    <row r="346" spans="6:6" ht="16.5" customHeight="1">
      <c r="F346" s="1"/>
    </row>
    <row r="347" spans="6:6" ht="16.5" customHeight="1">
      <c r="F347" s="1"/>
    </row>
    <row r="348" spans="6:6" ht="16.5" customHeight="1">
      <c r="F348" s="1"/>
    </row>
    <row r="349" spans="6:6" ht="16.5" customHeight="1">
      <c r="F349" s="1"/>
    </row>
    <row r="350" spans="6:6" ht="16.5" customHeight="1">
      <c r="F350" s="1"/>
    </row>
    <row r="351" spans="6:6" ht="16.5" customHeight="1">
      <c r="F351" s="1"/>
    </row>
    <row r="352" spans="6:6" ht="16.5" customHeight="1">
      <c r="F352" s="1"/>
    </row>
    <row r="353" spans="6:6" ht="16.5" customHeight="1">
      <c r="F353" s="1"/>
    </row>
    <row r="354" spans="6:6" ht="16.5" customHeight="1">
      <c r="F354" s="1"/>
    </row>
    <row r="355" spans="6:6" ht="16.5" customHeight="1">
      <c r="F355" s="1"/>
    </row>
    <row r="356" spans="6:6" ht="16.5" customHeight="1">
      <c r="F356" s="1"/>
    </row>
    <row r="357" spans="6:6" ht="16.5" customHeight="1">
      <c r="F357" s="1"/>
    </row>
    <row r="358" spans="6:6" ht="16.5" customHeight="1">
      <c r="F358" s="1"/>
    </row>
    <row r="359" spans="6:6" ht="16.5" customHeight="1">
      <c r="F359" s="1"/>
    </row>
    <row r="360" spans="6:6" ht="16.5" customHeight="1">
      <c r="F360" s="1"/>
    </row>
    <row r="361" spans="6:6" ht="16.5" customHeight="1">
      <c r="F361" s="1"/>
    </row>
    <row r="362" spans="6:6" ht="16.5" customHeight="1">
      <c r="F362" s="1"/>
    </row>
    <row r="363" spans="6:6" ht="16.5" customHeight="1">
      <c r="F363" s="1"/>
    </row>
    <row r="364" spans="6:6" ht="16.5" customHeight="1">
      <c r="F364" s="1"/>
    </row>
    <row r="365" spans="6:6" ht="16.5" customHeight="1">
      <c r="F365" s="1"/>
    </row>
    <row r="366" spans="6:6" ht="16.5" customHeight="1">
      <c r="F366" s="1"/>
    </row>
    <row r="367" spans="6:6" ht="16.5" customHeight="1">
      <c r="F367" s="1"/>
    </row>
    <row r="368" spans="6:6" ht="16.5" customHeight="1">
      <c r="F368" s="1"/>
    </row>
    <row r="369" spans="6:6" ht="16.5" customHeight="1">
      <c r="F369" s="1"/>
    </row>
    <row r="370" spans="6:6" ht="16.5" customHeight="1">
      <c r="F370" s="1"/>
    </row>
    <row r="371" spans="6:6" ht="16.5" customHeight="1">
      <c r="F371" s="1"/>
    </row>
    <row r="372" spans="6:6" ht="16.5" customHeight="1">
      <c r="F372" s="1"/>
    </row>
    <row r="373" spans="6:6" ht="16.5" customHeight="1">
      <c r="F373" s="1"/>
    </row>
    <row r="374" spans="6:6" ht="16.5" customHeight="1">
      <c r="F374" s="1"/>
    </row>
    <row r="375" spans="6:6" ht="16.5" customHeight="1">
      <c r="F375" s="1"/>
    </row>
    <row r="376" spans="6:6" ht="16.5" customHeight="1">
      <c r="F376" s="1"/>
    </row>
    <row r="377" spans="6:6" ht="16.5" customHeight="1">
      <c r="F377" s="1"/>
    </row>
    <row r="378" spans="6:6" ht="16.5" customHeight="1">
      <c r="F378" s="1"/>
    </row>
    <row r="379" spans="6:6" ht="16.5" customHeight="1">
      <c r="F379" s="1"/>
    </row>
    <row r="380" spans="6:6" ht="16.5" customHeight="1">
      <c r="F380" s="1"/>
    </row>
    <row r="381" spans="6:6" ht="16.5" customHeight="1">
      <c r="F381" s="1"/>
    </row>
    <row r="382" spans="6:6" ht="16.5" customHeight="1">
      <c r="F382" s="1"/>
    </row>
    <row r="383" spans="6:6" ht="16.5" customHeight="1">
      <c r="F383" s="1"/>
    </row>
    <row r="384" spans="6:6" ht="16.5" customHeight="1">
      <c r="F384" s="1"/>
    </row>
    <row r="385" spans="6:6" ht="16.5" customHeight="1">
      <c r="F385" s="1"/>
    </row>
    <row r="386" spans="6:6" ht="16.5" customHeight="1">
      <c r="F386" s="1"/>
    </row>
    <row r="387" spans="6:6" ht="16.5" customHeight="1">
      <c r="F387" s="1"/>
    </row>
    <row r="388" spans="6:6" ht="16.5" customHeight="1">
      <c r="F388" s="1"/>
    </row>
    <row r="389" spans="6:6" ht="16.5" customHeight="1">
      <c r="F389" s="1"/>
    </row>
    <row r="390" spans="6:6" ht="16.5" customHeight="1">
      <c r="F390" s="1"/>
    </row>
    <row r="391" spans="6:6" ht="16.5" customHeight="1">
      <c r="F391" s="1"/>
    </row>
    <row r="392" spans="6:6" ht="16.5" customHeight="1">
      <c r="F392" s="1"/>
    </row>
    <row r="393" spans="6:6" ht="16.5" customHeight="1">
      <c r="F393" s="1"/>
    </row>
    <row r="394" spans="6:6" ht="16.5" customHeight="1">
      <c r="F394" s="1"/>
    </row>
    <row r="395" spans="6:6" ht="16.5" customHeight="1">
      <c r="F395" s="1"/>
    </row>
    <row r="396" spans="6:6" ht="16.5" customHeight="1">
      <c r="F396" s="1"/>
    </row>
    <row r="397" spans="6:6" ht="16.5" customHeight="1">
      <c r="F397" s="1"/>
    </row>
    <row r="398" spans="6:6" ht="16.5" customHeight="1">
      <c r="F398" s="1"/>
    </row>
    <row r="399" spans="6:6" ht="16.5" customHeight="1">
      <c r="F399" s="1"/>
    </row>
    <row r="400" spans="6:6" ht="16.5" customHeight="1">
      <c r="F400" s="1"/>
    </row>
    <row r="401" spans="6:6" ht="16.5" customHeight="1">
      <c r="F401" s="1"/>
    </row>
    <row r="402" spans="6:6" ht="16.5" customHeight="1">
      <c r="F402" s="1"/>
    </row>
    <row r="403" spans="6:6" ht="16.5" customHeight="1">
      <c r="F403" s="1"/>
    </row>
    <row r="404" spans="6:6" ht="16.5" customHeight="1">
      <c r="F404" s="1"/>
    </row>
    <row r="405" spans="6:6" ht="16.5" customHeight="1">
      <c r="F405" s="1"/>
    </row>
    <row r="406" spans="6:6" ht="16.5" customHeight="1">
      <c r="F406" s="1"/>
    </row>
    <row r="407" spans="6:6" ht="16.5" customHeight="1">
      <c r="F407" s="1"/>
    </row>
    <row r="408" spans="6:6" ht="16.5" customHeight="1">
      <c r="F408" s="1"/>
    </row>
    <row r="409" spans="6:6" ht="16.5" customHeight="1">
      <c r="F409" s="1"/>
    </row>
    <row r="410" spans="6:6" ht="16.5" customHeight="1">
      <c r="F410" s="1"/>
    </row>
    <row r="411" spans="6:6" ht="16.5" customHeight="1">
      <c r="F411" s="1"/>
    </row>
    <row r="412" spans="6:6" ht="16.5" customHeight="1">
      <c r="F412" s="1"/>
    </row>
    <row r="413" spans="6:6" ht="16.5" customHeight="1">
      <c r="F413" s="1"/>
    </row>
    <row r="414" spans="6:6" ht="16.5" customHeight="1">
      <c r="F414" s="1"/>
    </row>
    <row r="415" spans="6:6" ht="16.5" customHeight="1">
      <c r="F415" s="1"/>
    </row>
    <row r="416" spans="6:6" ht="16.5" customHeight="1">
      <c r="F416" s="1"/>
    </row>
    <row r="417" spans="6:6" ht="16.5" customHeight="1">
      <c r="F417" s="1"/>
    </row>
    <row r="418" spans="6:6" ht="16.5" customHeight="1">
      <c r="F418" s="1"/>
    </row>
    <row r="419" spans="6:6" ht="16.5" customHeight="1">
      <c r="F419" s="1"/>
    </row>
    <row r="420" spans="6:6" ht="16.5" customHeight="1">
      <c r="F420" s="1"/>
    </row>
    <row r="421" spans="6:6" ht="16.5" customHeight="1">
      <c r="F421" s="1"/>
    </row>
    <row r="422" spans="6:6" ht="16.5" customHeight="1">
      <c r="F422" s="1"/>
    </row>
    <row r="423" spans="6:6" ht="16.5" customHeight="1">
      <c r="F423" s="1"/>
    </row>
    <row r="424" spans="6:6" ht="16.5" customHeight="1">
      <c r="F424" s="1"/>
    </row>
    <row r="425" spans="6:6" ht="16.5" customHeight="1">
      <c r="F425" s="1"/>
    </row>
    <row r="426" spans="6:6" ht="16.5" customHeight="1">
      <c r="F426" s="1"/>
    </row>
    <row r="427" spans="6:6" ht="16.5" customHeight="1">
      <c r="F427" s="1"/>
    </row>
    <row r="428" spans="6:6" ht="16.5" customHeight="1">
      <c r="F428" s="1"/>
    </row>
    <row r="429" spans="6:6" ht="16.5" customHeight="1">
      <c r="F429" s="1"/>
    </row>
    <row r="430" spans="6:6" ht="16.5" customHeight="1">
      <c r="F430" s="1"/>
    </row>
    <row r="431" spans="6:6" ht="16.5" customHeight="1">
      <c r="F431" s="1"/>
    </row>
    <row r="432" spans="6:6" ht="16.5" customHeight="1">
      <c r="F432" s="1"/>
    </row>
    <row r="433" spans="6:6" ht="16.5" customHeight="1">
      <c r="F433" s="1"/>
    </row>
    <row r="434" spans="6:6" ht="16.5" customHeight="1">
      <c r="F434" s="1"/>
    </row>
    <row r="435" spans="6:6" ht="16.5" customHeight="1">
      <c r="F435" s="1"/>
    </row>
    <row r="436" spans="6:6" ht="16.5" customHeight="1">
      <c r="F436" s="1"/>
    </row>
    <row r="437" spans="6:6" ht="16.5" customHeight="1">
      <c r="F437" s="1"/>
    </row>
    <row r="438" spans="6:6" ht="16.5" customHeight="1">
      <c r="F438" s="1"/>
    </row>
    <row r="439" spans="6:6" ht="16.5" customHeight="1">
      <c r="F439" s="1"/>
    </row>
    <row r="440" spans="6:6" ht="16.5" customHeight="1">
      <c r="F440" s="1"/>
    </row>
    <row r="441" spans="6:6" ht="16.5" customHeight="1">
      <c r="F441" s="1"/>
    </row>
    <row r="442" spans="6:6" ht="16.5" customHeight="1">
      <c r="F442" s="1"/>
    </row>
    <row r="443" spans="6:6" ht="16.5" customHeight="1">
      <c r="F443" s="1"/>
    </row>
    <row r="444" spans="6:6" ht="16.5" customHeight="1">
      <c r="F444" s="1"/>
    </row>
    <row r="445" spans="6:6" ht="16.5" customHeight="1">
      <c r="F445" s="1"/>
    </row>
    <row r="446" spans="6:6" ht="16.5" customHeight="1">
      <c r="F446" s="1"/>
    </row>
    <row r="447" spans="6:6" ht="16.5" customHeight="1">
      <c r="F447" s="1"/>
    </row>
    <row r="448" spans="6:6" ht="16.5" customHeight="1">
      <c r="F448" s="1"/>
    </row>
    <row r="449" spans="6:6" ht="16.5" customHeight="1">
      <c r="F449" s="1"/>
    </row>
    <row r="450" spans="6:6" ht="16.5" customHeight="1">
      <c r="F450" s="1"/>
    </row>
    <row r="451" spans="6:6" ht="16.5" customHeight="1">
      <c r="F451" s="1"/>
    </row>
    <row r="452" spans="6:6" ht="16.5" customHeight="1">
      <c r="F452" s="1"/>
    </row>
    <row r="453" spans="6:6" ht="16.5" customHeight="1">
      <c r="F453" s="1"/>
    </row>
    <row r="454" spans="6:6" ht="16.5" customHeight="1">
      <c r="F454" s="1"/>
    </row>
    <row r="455" spans="6:6" ht="16.5" customHeight="1">
      <c r="F455" s="1"/>
    </row>
    <row r="456" spans="6:6" ht="16.5" customHeight="1">
      <c r="F456" s="1"/>
    </row>
    <row r="457" spans="6:6" ht="16.5" customHeight="1">
      <c r="F457" s="1"/>
    </row>
    <row r="458" spans="6:6" ht="16.5" customHeight="1">
      <c r="F458" s="1"/>
    </row>
    <row r="459" spans="6:6" ht="16.5" customHeight="1">
      <c r="F459" s="1"/>
    </row>
    <row r="460" spans="6:6" ht="16.5" customHeight="1">
      <c r="F460" s="1"/>
    </row>
    <row r="461" spans="6:6" ht="16.5" customHeight="1">
      <c r="F461" s="1"/>
    </row>
    <row r="462" spans="6:6" ht="16.5" customHeight="1">
      <c r="F462" s="1"/>
    </row>
    <row r="463" spans="6:6" ht="16.5" customHeight="1">
      <c r="F463" s="1"/>
    </row>
    <row r="464" spans="6:6" ht="16.5" customHeight="1">
      <c r="F464" s="1"/>
    </row>
    <row r="465" spans="6:6" ht="16.5" customHeight="1">
      <c r="F465" s="1"/>
    </row>
    <row r="466" spans="6:6" ht="16.5" customHeight="1">
      <c r="F466" s="1"/>
    </row>
    <row r="467" spans="6:6" ht="16.5" customHeight="1">
      <c r="F467" s="1"/>
    </row>
    <row r="468" spans="6:6" ht="16.5" customHeight="1">
      <c r="F468" s="1"/>
    </row>
    <row r="469" spans="6:6" ht="16.5" customHeight="1">
      <c r="F469" s="1"/>
    </row>
    <row r="470" spans="6:6" ht="16.5" customHeight="1">
      <c r="F470" s="1"/>
    </row>
    <row r="471" spans="6:6" ht="16.5" customHeight="1">
      <c r="F471" s="1"/>
    </row>
    <row r="472" spans="6:6" ht="16.5" customHeight="1">
      <c r="F472" s="1"/>
    </row>
    <row r="473" spans="6:6" ht="16.5" customHeight="1">
      <c r="F473" s="1"/>
    </row>
    <row r="474" spans="6:6" ht="16.5" customHeight="1">
      <c r="F474" s="1"/>
    </row>
    <row r="475" spans="6:6" ht="16.5" customHeight="1">
      <c r="F475" s="1"/>
    </row>
    <row r="476" spans="6:6" ht="16.5" customHeight="1">
      <c r="F476" s="1"/>
    </row>
    <row r="477" spans="6:6" ht="16.5" customHeight="1">
      <c r="F477" s="1"/>
    </row>
    <row r="478" spans="6:6" ht="16.5" customHeight="1">
      <c r="F478" s="1"/>
    </row>
    <row r="479" spans="6:6" ht="16.5" customHeight="1">
      <c r="F479" s="1"/>
    </row>
    <row r="480" spans="6:6" ht="16.5" customHeight="1">
      <c r="F480" s="1"/>
    </row>
    <row r="481" spans="6:6" ht="16.5" customHeight="1">
      <c r="F481" s="1"/>
    </row>
    <row r="482" spans="6:6" ht="16.5" customHeight="1">
      <c r="F482" s="1"/>
    </row>
    <row r="483" spans="6:6" ht="16.5" customHeight="1">
      <c r="F483" s="1"/>
    </row>
    <row r="484" spans="6:6" ht="16.5" customHeight="1">
      <c r="F484" s="1"/>
    </row>
    <row r="485" spans="6:6" ht="16.5" customHeight="1">
      <c r="F485" s="1"/>
    </row>
    <row r="486" spans="6:6" ht="16.5" customHeight="1">
      <c r="F486" s="1"/>
    </row>
    <row r="487" spans="6:6" ht="16.5" customHeight="1">
      <c r="F487" s="1"/>
    </row>
    <row r="488" spans="6:6" ht="16.5" customHeight="1">
      <c r="F488" s="1"/>
    </row>
    <row r="489" spans="6:6" ht="16.5" customHeight="1">
      <c r="F489" s="1"/>
    </row>
    <row r="490" spans="6:6" ht="16.5" customHeight="1">
      <c r="F490" s="1"/>
    </row>
    <row r="491" spans="6:6" ht="16.5" customHeight="1">
      <c r="F491" s="1"/>
    </row>
    <row r="492" spans="6:6" ht="16.5" customHeight="1">
      <c r="F492" s="1"/>
    </row>
    <row r="493" spans="6:6" ht="16.5" customHeight="1">
      <c r="F493" s="1"/>
    </row>
    <row r="494" spans="6:6" ht="16.5" customHeight="1">
      <c r="F494" s="1"/>
    </row>
    <row r="495" spans="6:6" ht="16.5" customHeight="1">
      <c r="F495" s="1"/>
    </row>
    <row r="496" spans="6:6" ht="16.5" customHeight="1">
      <c r="F496" s="1"/>
    </row>
    <row r="497" spans="6:6" ht="16.5" customHeight="1">
      <c r="F497" s="1"/>
    </row>
    <row r="498" spans="6:6" ht="16.5" customHeight="1">
      <c r="F498" s="1"/>
    </row>
    <row r="499" spans="6:6" ht="16.5" customHeight="1">
      <c r="F499" s="1"/>
    </row>
    <row r="500" spans="6:6" ht="16.5" customHeight="1">
      <c r="F500" s="1"/>
    </row>
    <row r="501" spans="6:6" ht="16.5" customHeight="1">
      <c r="F501" s="1"/>
    </row>
    <row r="502" spans="6:6" ht="16.5" customHeight="1">
      <c r="F502" s="1"/>
    </row>
    <row r="503" spans="6:6" ht="16.5" customHeight="1">
      <c r="F503" s="1"/>
    </row>
    <row r="504" spans="6:6" ht="16.5" customHeight="1">
      <c r="F504" s="1"/>
    </row>
    <row r="505" spans="6:6" ht="16.5" customHeight="1">
      <c r="F505" s="1"/>
    </row>
    <row r="506" spans="6:6" ht="16.5" customHeight="1">
      <c r="F506" s="1"/>
    </row>
    <row r="507" spans="6:6" ht="16.5" customHeight="1">
      <c r="F507" s="1"/>
    </row>
    <row r="508" spans="6:6" ht="16.5" customHeight="1">
      <c r="F508" s="1"/>
    </row>
    <row r="509" spans="6:6" ht="16.5" customHeight="1">
      <c r="F509" s="1"/>
    </row>
    <row r="510" spans="6:6" ht="16.5" customHeight="1">
      <c r="F510" s="1"/>
    </row>
    <row r="511" spans="6:6" ht="16.5" customHeight="1">
      <c r="F511" s="1"/>
    </row>
    <row r="512" spans="6:6" ht="16.5" customHeight="1">
      <c r="F512" s="1"/>
    </row>
    <row r="513" spans="6:6" ht="16.5" customHeight="1">
      <c r="F513" s="1"/>
    </row>
    <row r="514" spans="6:6" ht="16.5" customHeight="1">
      <c r="F514" s="1"/>
    </row>
    <row r="515" spans="6:6" ht="16.5" customHeight="1">
      <c r="F515" s="1"/>
    </row>
    <row r="516" spans="6:6" ht="16.5" customHeight="1">
      <c r="F516" s="1"/>
    </row>
    <row r="517" spans="6:6" ht="16.5" customHeight="1">
      <c r="F517" s="1"/>
    </row>
    <row r="518" spans="6:6" ht="16.5" customHeight="1">
      <c r="F518" s="1"/>
    </row>
    <row r="519" spans="6:6" ht="16.5" customHeight="1">
      <c r="F519" s="1"/>
    </row>
    <row r="520" spans="6:6" ht="16.5" customHeight="1">
      <c r="F520" s="1"/>
    </row>
    <row r="521" spans="6:6" ht="16.5" customHeight="1">
      <c r="F521" s="1"/>
    </row>
    <row r="522" spans="6:6" ht="16.5" customHeight="1">
      <c r="F522" s="1"/>
    </row>
    <row r="523" spans="6:6" ht="16.5" customHeight="1">
      <c r="F523" s="1"/>
    </row>
    <row r="524" spans="6:6" ht="16.5" customHeight="1">
      <c r="F524" s="1"/>
    </row>
    <row r="525" spans="6:6" ht="16.5" customHeight="1">
      <c r="F525" s="1"/>
    </row>
    <row r="526" spans="6:6" ht="16.5" customHeight="1">
      <c r="F526" s="1"/>
    </row>
    <row r="527" spans="6:6" ht="16.5" customHeight="1">
      <c r="F527" s="1"/>
    </row>
    <row r="528" spans="6:6" ht="16.5" customHeight="1">
      <c r="F528" s="1"/>
    </row>
    <row r="529" spans="6:6" ht="16.5" customHeight="1">
      <c r="F529" s="1"/>
    </row>
    <row r="530" spans="6:6" ht="16.5" customHeight="1">
      <c r="F530" s="1"/>
    </row>
    <row r="531" spans="6:6" ht="16.5" customHeight="1">
      <c r="F531" s="1"/>
    </row>
    <row r="532" spans="6:6" ht="16.5" customHeight="1">
      <c r="F532" s="1"/>
    </row>
    <row r="533" spans="6:6" ht="16.5" customHeight="1">
      <c r="F533" s="1"/>
    </row>
    <row r="534" spans="6:6" ht="16.5" customHeight="1">
      <c r="F534" s="1"/>
    </row>
    <row r="535" spans="6:6" ht="16.5" customHeight="1">
      <c r="F535" s="1"/>
    </row>
    <row r="536" spans="6:6" ht="16.5" customHeight="1">
      <c r="F536" s="1"/>
    </row>
    <row r="537" spans="6:6" ht="16.5" customHeight="1">
      <c r="F537" s="1"/>
    </row>
    <row r="538" spans="6:6" ht="16.5" customHeight="1">
      <c r="F538" s="1"/>
    </row>
    <row r="539" spans="6:6" ht="16.5" customHeight="1">
      <c r="F539" s="1"/>
    </row>
    <row r="540" spans="6:6" ht="16.5" customHeight="1">
      <c r="F540" s="1"/>
    </row>
    <row r="541" spans="6:6" ht="16.5" customHeight="1">
      <c r="F541" s="1"/>
    </row>
    <row r="542" spans="6:6" ht="16.5" customHeight="1">
      <c r="F542" s="1"/>
    </row>
    <row r="543" spans="6:6" ht="16.5" customHeight="1">
      <c r="F543" s="1"/>
    </row>
    <row r="544" spans="6:6" ht="16.5" customHeight="1">
      <c r="F544" s="1"/>
    </row>
    <row r="545" spans="6:6" ht="16.5" customHeight="1">
      <c r="F545" s="1"/>
    </row>
    <row r="546" spans="6:6" ht="16.5" customHeight="1">
      <c r="F546" s="1"/>
    </row>
    <row r="547" spans="6:6" ht="16.5" customHeight="1">
      <c r="F547" s="1"/>
    </row>
    <row r="548" spans="6:6" ht="16.5" customHeight="1">
      <c r="F548" s="1"/>
    </row>
    <row r="549" spans="6:6" ht="16.5" customHeight="1">
      <c r="F549" s="1"/>
    </row>
    <row r="550" spans="6:6" ht="16.5" customHeight="1">
      <c r="F550" s="1"/>
    </row>
    <row r="551" spans="6:6" ht="16.5" customHeight="1">
      <c r="F551" s="1"/>
    </row>
    <row r="552" spans="6:6" ht="16.5" customHeight="1">
      <c r="F552" s="1"/>
    </row>
    <row r="553" spans="6:6" ht="16.5" customHeight="1">
      <c r="F553" s="1"/>
    </row>
    <row r="554" spans="6:6" ht="16.5" customHeight="1">
      <c r="F554" s="1"/>
    </row>
    <row r="555" spans="6:6" ht="16.5" customHeight="1">
      <c r="F555" s="1"/>
    </row>
    <row r="556" spans="6:6" ht="16.5" customHeight="1">
      <c r="F556" s="1"/>
    </row>
    <row r="557" spans="6:6" ht="16.5" customHeight="1">
      <c r="F557" s="1"/>
    </row>
    <row r="558" spans="6:6" ht="16.5" customHeight="1">
      <c r="F558" s="1"/>
    </row>
    <row r="559" spans="6:6" ht="16.5" customHeight="1">
      <c r="F559" s="1"/>
    </row>
    <row r="560" spans="6:6" ht="16.5" customHeight="1">
      <c r="F560" s="1"/>
    </row>
    <row r="561" spans="6:6" ht="16.5" customHeight="1">
      <c r="F561" s="1"/>
    </row>
    <row r="562" spans="6:6" ht="16.5" customHeight="1">
      <c r="F562" s="1"/>
    </row>
    <row r="563" spans="6:6" ht="16.5" customHeight="1">
      <c r="F563" s="1"/>
    </row>
    <row r="564" spans="6:6" ht="16.5" customHeight="1">
      <c r="F564" s="1"/>
    </row>
    <row r="565" spans="6:6" ht="16.5" customHeight="1">
      <c r="F565" s="1"/>
    </row>
    <row r="566" spans="6:6" ht="16.5" customHeight="1">
      <c r="F566" s="1"/>
    </row>
    <row r="567" spans="6:6" ht="16.5" customHeight="1">
      <c r="F567" s="1"/>
    </row>
    <row r="568" spans="6:6" ht="16.5" customHeight="1">
      <c r="F568" s="1"/>
    </row>
    <row r="569" spans="6:6" ht="16.5" customHeight="1">
      <c r="F569" s="1"/>
    </row>
    <row r="570" spans="6:6" ht="16.5" customHeight="1">
      <c r="F570" s="1"/>
    </row>
    <row r="571" spans="6:6" ht="16.5" customHeight="1">
      <c r="F571" s="1"/>
    </row>
    <row r="572" spans="6:6" ht="16.5" customHeight="1">
      <c r="F572" s="1"/>
    </row>
    <row r="573" spans="6:6" ht="16.5" customHeight="1">
      <c r="F573" s="1"/>
    </row>
    <row r="574" spans="6:6" ht="16.5" customHeight="1">
      <c r="F574" s="1"/>
    </row>
    <row r="575" spans="6:6" ht="16.5" customHeight="1">
      <c r="F575" s="1"/>
    </row>
    <row r="576" spans="6:6" ht="16.5" customHeight="1">
      <c r="F576" s="1"/>
    </row>
    <row r="577" spans="6:6" ht="16.5" customHeight="1">
      <c r="F577" s="1"/>
    </row>
    <row r="578" spans="6:6" ht="16.5" customHeight="1">
      <c r="F578" s="1"/>
    </row>
    <row r="579" spans="6:6" ht="16.5" customHeight="1">
      <c r="F579" s="1"/>
    </row>
    <row r="580" spans="6:6" ht="16.5" customHeight="1">
      <c r="F580" s="1"/>
    </row>
    <row r="581" spans="6:6" ht="16.5" customHeight="1">
      <c r="F581" s="1"/>
    </row>
    <row r="582" spans="6:6" ht="16.5" customHeight="1">
      <c r="F582" s="1"/>
    </row>
    <row r="583" spans="6:6" ht="16.5" customHeight="1">
      <c r="F583" s="1"/>
    </row>
    <row r="584" spans="6:6" ht="16.5" customHeight="1">
      <c r="F584" s="1"/>
    </row>
    <row r="585" spans="6:6" ht="16.5" customHeight="1">
      <c r="F585" s="1"/>
    </row>
    <row r="586" spans="6:6" ht="16.5" customHeight="1">
      <c r="F586" s="1"/>
    </row>
    <row r="587" spans="6:6" ht="16.5" customHeight="1">
      <c r="F587" s="1"/>
    </row>
    <row r="588" spans="6:6" ht="16.5" customHeight="1">
      <c r="F588" s="1"/>
    </row>
    <row r="589" spans="6:6" ht="16.5" customHeight="1">
      <c r="F589" s="1"/>
    </row>
    <row r="590" spans="6:6" ht="16.5" customHeight="1">
      <c r="F590" s="1"/>
    </row>
    <row r="591" spans="6:6" ht="16.5" customHeight="1">
      <c r="F591" s="1"/>
    </row>
    <row r="592" spans="6:6" ht="16.5" customHeight="1">
      <c r="F592" s="1"/>
    </row>
    <row r="593" spans="6:6" ht="16.5" customHeight="1">
      <c r="F593" s="1"/>
    </row>
    <row r="594" spans="6:6" ht="16.5" customHeight="1">
      <c r="F594" s="1"/>
    </row>
    <row r="595" spans="6:6" ht="16.5" customHeight="1">
      <c r="F595" s="1"/>
    </row>
    <row r="596" spans="6:6" ht="16.5" customHeight="1">
      <c r="F596" s="1"/>
    </row>
    <row r="597" spans="6:6" ht="16.5" customHeight="1">
      <c r="F597" s="1"/>
    </row>
    <row r="598" spans="6:6" ht="16.5" customHeight="1">
      <c r="F598" s="1"/>
    </row>
    <row r="599" spans="6:6" ht="16.5" customHeight="1">
      <c r="F599" s="1"/>
    </row>
    <row r="600" spans="6:6" ht="16.5" customHeight="1">
      <c r="F600" s="1"/>
    </row>
    <row r="601" spans="6:6" ht="16.5" customHeight="1">
      <c r="F601" s="1"/>
    </row>
    <row r="602" spans="6:6" ht="16.5" customHeight="1">
      <c r="F602" s="1"/>
    </row>
    <row r="603" spans="6:6" ht="16.5" customHeight="1">
      <c r="F603" s="1"/>
    </row>
    <row r="604" spans="6:6" ht="16.5" customHeight="1">
      <c r="F604" s="1"/>
    </row>
    <row r="605" spans="6:6" ht="16.5" customHeight="1">
      <c r="F605" s="1"/>
    </row>
    <row r="606" spans="6:6" ht="16.5" customHeight="1">
      <c r="F606" s="1"/>
    </row>
    <row r="607" spans="6:6" ht="16.5" customHeight="1">
      <c r="F607" s="1"/>
    </row>
    <row r="608" spans="6:6" ht="16.5" customHeight="1">
      <c r="F608" s="1"/>
    </row>
    <row r="609" spans="6:6" ht="16.5" customHeight="1">
      <c r="F609" s="1"/>
    </row>
    <row r="610" spans="6:6" ht="16.5" customHeight="1">
      <c r="F610" s="1"/>
    </row>
    <row r="611" spans="6:6" ht="16.5" customHeight="1">
      <c r="F611" s="1"/>
    </row>
    <row r="612" spans="6:6" ht="16.5" customHeight="1">
      <c r="F612" s="1"/>
    </row>
    <row r="613" spans="6:6" ht="16.5" customHeight="1">
      <c r="F613" s="1"/>
    </row>
    <row r="614" spans="6:6" ht="16.5" customHeight="1">
      <c r="F614" s="1"/>
    </row>
    <row r="615" spans="6:6" ht="16.5" customHeight="1">
      <c r="F615" s="1"/>
    </row>
    <row r="616" spans="6:6" ht="16.5" customHeight="1">
      <c r="F616" s="1"/>
    </row>
    <row r="617" spans="6:6" ht="16.5" customHeight="1">
      <c r="F617" s="1"/>
    </row>
    <row r="618" spans="6:6" ht="16.5" customHeight="1">
      <c r="F618" s="1"/>
    </row>
    <row r="619" spans="6:6" ht="16.5" customHeight="1">
      <c r="F619" s="1"/>
    </row>
    <row r="620" spans="6:6" ht="16.5" customHeight="1">
      <c r="F620" s="1"/>
    </row>
    <row r="621" spans="6:6" ht="16.5" customHeight="1">
      <c r="F621" s="1"/>
    </row>
    <row r="622" spans="6:6" ht="16.5" customHeight="1">
      <c r="F622" s="1"/>
    </row>
    <row r="623" spans="6:6" ht="16.5" customHeight="1">
      <c r="F623" s="1"/>
    </row>
    <row r="624" spans="6:6" ht="16.5" customHeight="1">
      <c r="F624" s="1"/>
    </row>
    <row r="625" spans="6:6" ht="16.5" customHeight="1">
      <c r="F625" s="1"/>
    </row>
    <row r="626" spans="6:6" ht="16.5" customHeight="1">
      <c r="F626" s="1"/>
    </row>
    <row r="627" spans="6:6" ht="16.5" customHeight="1">
      <c r="F627" s="1"/>
    </row>
    <row r="628" spans="6:6" ht="16.5" customHeight="1">
      <c r="F628" s="1"/>
    </row>
    <row r="629" spans="6:6" ht="16.5" customHeight="1">
      <c r="F629" s="1"/>
    </row>
    <row r="630" spans="6:6" ht="16.5" customHeight="1">
      <c r="F630" s="1"/>
    </row>
    <row r="631" spans="6:6" ht="16.5" customHeight="1">
      <c r="F631" s="1"/>
    </row>
    <row r="632" spans="6:6" ht="16.5" customHeight="1">
      <c r="F632" s="1"/>
    </row>
    <row r="633" spans="6:6" ht="16.5" customHeight="1">
      <c r="F633" s="1"/>
    </row>
    <row r="634" spans="6:6" ht="16.5" customHeight="1">
      <c r="F634" s="1"/>
    </row>
    <row r="635" spans="6:6" ht="16.5" customHeight="1">
      <c r="F635" s="1"/>
    </row>
    <row r="636" spans="6:6" ht="16.5" customHeight="1">
      <c r="F636" s="1"/>
    </row>
    <row r="637" spans="6:6" ht="16.5" customHeight="1">
      <c r="F637" s="1"/>
    </row>
    <row r="638" spans="6:6" ht="16.5" customHeight="1">
      <c r="F638" s="1"/>
    </row>
    <row r="639" spans="6:6" ht="16.5" customHeight="1">
      <c r="F639" s="1"/>
    </row>
    <row r="640" spans="6:6" ht="16.5" customHeight="1">
      <c r="F640" s="1"/>
    </row>
    <row r="641" spans="6:6" ht="16.5" customHeight="1">
      <c r="F641" s="1"/>
    </row>
    <row r="642" spans="6:6" ht="16.5" customHeight="1">
      <c r="F642" s="1"/>
    </row>
    <row r="643" spans="6:6" ht="16.5" customHeight="1">
      <c r="F643" s="1"/>
    </row>
    <row r="644" spans="6:6" ht="16.5" customHeight="1">
      <c r="F644" s="1"/>
    </row>
    <row r="645" spans="6:6" ht="16.5" customHeight="1">
      <c r="F645" s="1"/>
    </row>
    <row r="646" spans="6:6" ht="16.5" customHeight="1">
      <c r="F646" s="1"/>
    </row>
    <row r="647" spans="6:6" ht="16.5" customHeight="1">
      <c r="F647" s="1"/>
    </row>
    <row r="648" spans="6:6" ht="16.5" customHeight="1">
      <c r="F648" s="1"/>
    </row>
    <row r="649" spans="6:6" ht="16.5" customHeight="1">
      <c r="F649" s="1"/>
    </row>
    <row r="650" spans="6:6" ht="16.5" customHeight="1">
      <c r="F650" s="1"/>
    </row>
    <row r="651" spans="6:6" ht="16.5" customHeight="1">
      <c r="F651" s="1"/>
    </row>
    <row r="652" spans="6:6" ht="16.5" customHeight="1">
      <c r="F652" s="1"/>
    </row>
    <row r="653" spans="6:6" ht="16.5" customHeight="1">
      <c r="F653" s="1"/>
    </row>
    <row r="654" spans="6:6" ht="16.5" customHeight="1">
      <c r="F654" s="1"/>
    </row>
    <row r="655" spans="6:6" ht="16.5" customHeight="1">
      <c r="F655" s="1"/>
    </row>
    <row r="656" spans="6:6" ht="16.5" customHeight="1">
      <c r="F656" s="1"/>
    </row>
    <row r="657" spans="6:6" ht="16.5" customHeight="1">
      <c r="F657" s="1"/>
    </row>
    <row r="658" spans="6:6" ht="16.5" customHeight="1">
      <c r="F658" s="1"/>
    </row>
    <row r="659" spans="6:6" ht="16.5" customHeight="1">
      <c r="F659" s="1"/>
    </row>
    <row r="660" spans="6:6" ht="16.5" customHeight="1">
      <c r="F660" s="1"/>
    </row>
    <row r="661" spans="6:6" ht="16.5" customHeight="1">
      <c r="F661" s="1"/>
    </row>
    <row r="662" spans="6:6" ht="16.5" customHeight="1">
      <c r="F662" s="1"/>
    </row>
    <row r="663" spans="6:6" ht="16.5" customHeight="1">
      <c r="F663" s="1"/>
    </row>
    <row r="664" spans="6:6" ht="16.5" customHeight="1">
      <c r="F664" s="1"/>
    </row>
    <row r="665" spans="6:6" ht="16.5" customHeight="1">
      <c r="F665" s="1"/>
    </row>
    <row r="666" spans="6:6" ht="16.5" customHeight="1">
      <c r="F666" s="1"/>
    </row>
    <row r="667" spans="6:6" ht="16.5" customHeight="1">
      <c r="F667" s="1"/>
    </row>
    <row r="668" spans="6:6" ht="16.5" customHeight="1">
      <c r="F668" s="1"/>
    </row>
    <row r="669" spans="6:6" ht="16.5" customHeight="1">
      <c r="F669" s="1"/>
    </row>
    <row r="670" spans="6:6" ht="16.5" customHeight="1">
      <c r="F670" s="1"/>
    </row>
    <row r="671" spans="6:6" ht="16.5" customHeight="1">
      <c r="F671" s="1"/>
    </row>
    <row r="672" spans="6:6" ht="16.5" customHeight="1">
      <c r="F672" s="1"/>
    </row>
    <row r="673" spans="6:6" ht="16.5" customHeight="1">
      <c r="F673" s="1"/>
    </row>
    <row r="674" spans="6:6" ht="16.5" customHeight="1">
      <c r="F674" s="1"/>
    </row>
    <row r="675" spans="6:6" ht="16.5" customHeight="1">
      <c r="F675" s="1"/>
    </row>
    <row r="676" spans="6:6" ht="16.5" customHeight="1">
      <c r="F676" s="1"/>
    </row>
    <row r="677" spans="6:6" ht="16.5" customHeight="1">
      <c r="F677" s="1"/>
    </row>
    <row r="678" spans="6:6" ht="16.5" customHeight="1">
      <c r="F678" s="1"/>
    </row>
    <row r="679" spans="6:6" ht="16.5" customHeight="1">
      <c r="F679" s="1"/>
    </row>
    <row r="680" spans="6:6" ht="16.5" customHeight="1">
      <c r="F680" s="1"/>
    </row>
    <row r="681" spans="6:6" ht="16.5" customHeight="1">
      <c r="F681" s="1"/>
    </row>
    <row r="682" spans="6:6" ht="16.5" customHeight="1">
      <c r="F682" s="1"/>
    </row>
    <row r="683" spans="6:6" ht="16.5" customHeight="1">
      <c r="F683" s="1"/>
    </row>
    <row r="684" spans="6:6" ht="16.5" customHeight="1">
      <c r="F684" s="1"/>
    </row>
    <row r="685" spans="6:6" ht="16.5" customHeight="1">
      <c r="F685" s="1"/>
    </row>
    <row r="686" spans="6:6" ht="16.5" customHeight="1">
      <c r="F686" s="1"/>
    </row>
    <row r="687" spans="6:6" ht="16.5" customHeight="1">
      <c r="F687" s="1"/>
    </row>
    <row r="688" spans="6:6" ht="16.5" customHeight="1">
      <c r="F688" s="1"/>
    </row>
    <row r="689" spans="6:6" ht="16.5" customHeight="1">
      <c r="F689" s="1"/>
    </row>
    <row r="690" spans="6:6" ht="16.5" customHeight="1">
      <c r="F690" s="1"/>
    </row>
    <row r="691" spans="6:6" ht="16.5" customHeight="1">
      <c r="F691" s="1"/>
    </row>
    <row r="692" spans="6:6" ht="16.5" customHeight="1">
      <c r="F692" s="1"/>
    </row>
    <row r="693" spans="6:6" ht="16.5" customHeight="1">
      <c r="F693" s="1"/>
    </row>
    <row r="694" spans="6:6" ht="16.5" customHeight="1">
      <c r="F694" s="1"/>
    </row>
    <row r="695" spans="6:6" ht="16.5" customHeight="1">
      <c r="F695" s="1"/>
    </row>
    <row r="696" spans="6:6" ht="16.5" customHeight="1">
      <c r="F696" s="1"/>
    </row>
    <row r="697" spans="6:6" ht="16.5" customHeight="1">
      <c r="F697" s="1"/>
    </row>
    <row r="698" spans="6:6" ht="16.5" customHeight="1">
      <c r="F698" s="1"/>
    </row>
    <row r="699" spans="6:6" ht="16.5" customHeight="1">
      <c r="F699" s="1"/>
    </row>
    <row r="700" spans="6:6" ht="16.5" customHeight="1">
      <c r="F700" s="1"/>
    </row>
    <row r="701" spans="6:6" ht="16.5" customHeight="1">
      <c r="F701" s="1"/>
    </row>
    <row r="702" spans="6:6" ht="16.5" customHeight="1">
      <c r="F702" s="1"/>
    </row>
    <row r="703" spans="6:6" ht="16.5" customHeight="1">
      <c r="F703" s="1"/>
    </row>
    <row r="704" spans="6:6" ht="16.5" customHeight="1">
      <c r="F704" s="1"/>
    </row>
    <row r="705" spans="6:6" ht="16.5" customHeight="1">
      <c r="F705" s="1"/>
    </row>
    <row r="706" spans="6:6" ht="16.5" customHeight="1">
      <c r="F706" s="1"/>
    </row>
    <row r="707" spans="6:6" ht="16.5" customHeight="1">
      <c r="F707" s="1"/>
    </row>
    <row r="708" spans="6:6" ht="16.5" customHeight="1">
      <c r="F708" s="1"/>
    </row>
    <row r="709" spans="6:6" ht="16.5" customHeight="1">
      <c r="F709" s="1"/>
    </row>
    <row r="710" spans="6:6" ht="16.5" customHeight="1">
      <c r="F710" s="1"/>
    </row>
    <row r="711" spans="6:6" ht="16.5" customHeight="1">
      <c r="F711" s="1"/>
    </row>
    <row r="712" spans="6:6" ht="16.5" customHeight="1">
      <c r="F712" s="1"/>
    </row>
    <row r="713" spans="6:6" ht="16.5" customHeight="1">
      <c r="F713" s="1"/>
    </row>
    <row r="714" spans="6:6" ht="16.5" customHeight="1">
      <c r="F714" s="1"/>
    </row>
    <row r="715" spans="6:6" ht="16.5" customHeight="1">
      <c r="F715" s="1"/>
    </row>
    <row r="716" spans="6:6" ht="16.5" customHeight="1">
      <c r="F716" s="1"/>
    </row>
    <row r="717" spans="6:6" ht="16.5" customHeight="1">
      <c r="F717" s="1"/>
    </row>
    <row r="718" spans="6:6" ht="16.5" customHeight="1">
      <c r="F718" s="1"/>
    </row>
    <row r="719" spans="6:6" ht="16.5" customHeight="1">
      <c r="F719" s="1"/>
    </row>
    <row r="720" spans="6:6" ht="16.5" customHeight="1">
      <c r="F720" s="1"/>
    </row>
    <row r="721" spans="6:6" ht="16.5" customHeight="1">
      <c r="F721" s="1"/>
    </row>
    <row r="722" spans="6:6" ht="16.5" customHeight="1">
      <c r="F722" s="1"/>
    </row>
    <row r="723" spans="6:6" ht="16.5" customHeight="1">
      <c r="F723" s="1"/>
    </row>
    <row r="724" spans="6:6" ht="16.5" customHeight="1">
      <c r="F724" s="1"/>
    </row>
    <row r="725" spans="6:6" ht="16.5" customHeight="1">
      <c r="F725" s="1"/>
    </row>
    <row r="726" spans="6:6" ht="16.5" customHeight="1">
      <c r="F726" s="1"/>
    </row>
    <row r="727" spans="6:6" ht="16.5" customHeight="1">
      <c r="F727" s="1"/>
    </row>
    <row r="728" spans="6:6" ht="16.5" customHeight="1">
      <c r="F728" s="1"/>
    </row>
    <row r="729" spans="6:6" ht="16.5" customHeight="1">
      <c r="F729" s="1"/>
    </row>
    <row r="730" spans="6:6" ht="16.5" customHeight="1">
      <c r="F730" s="1"/>
    </row>
    <row r="731" spans="6:6" ht="16.5" customHeight="1">
      <c r="F731" s="1"/>
    </row>
    <row r="732" spans="6:6" ht="16.5" customHeight="1">
      <c r="F732" s="1"/>
    </row>
    <row r="733" spans="6:6" ht="16.5" customHeight="1">
      <c r="F733" s="1"/>
    </row>
    <row r="734" spans="6:6" ht="16.5" customHeight="1">
      <c r="F734" s="1"/>
    </row>
    <row r="735" spans="6:6" ht="16.5" customHeight="1">
      <c r="F735" s="1"/>
    </row>
    <row r="736" spans="6:6" ht="16.5" customHeight="1">
      <c r="F736" s="1"/>
    </row>
    <row r="737" spans="6:6" ht="16.5" customHeight="1">
      <c r="F737" s="1"/>
    </row>
    <row r="738" spans="6:6" ht="16.5" customHeight="1">
      <c r="F738" s="1"/>
    </row>
    <row r="739" spans="6:6" ht="16.5" customHeight="1">
      <c r="F739" s="1"/>
    </row>
    <row r="740" spans="6:6" ht="16.5" customHeight="1">
      <c r="F740" s="1"/>
    </row>
    <row r="741" spans="6:6" ht="16.5" customHeight="1">
      <c r="F741" s="1"/>
    </row>
    <row r="742" spans="6:6" ht="16.5" customHeight="1">
      <c r="F742" s="1"/>
    </row>
    <row r="743" spans="6:6" ht="16.5" customHeight="1">
      <c r="F743" s="1"/>
    </row>
    <row r="744" spans="6:6" ht="16.5" customHeight="1">
      <c r="F744" s="1"/>
    </row>
    <row r="745" spans="6:6" ht="16.5" customHeight="1">
      <c r="F745" s="1"/>
    </row>
    <row r="746" spans="6:6" ht="16.5" customHeight="1">
      <c r="F746" s="1"/>
    </row>
    <row r="747" spans="6:6" ht="16.5" customHeight="1">
      <c r="F747" s="1"/>
    </row>
    <row r="748" spans="6:6" ht="16.5" customHeight="1">
      <c r="F748" s="1"/>
    </row>
    <row r="749" spans="6:6" ht="16.5" customHeight="1">
      <c r="F749" s="1"/>
    </row>
    <row r="750" spans="6:6" ht="16.5" customHeight="1">
      <c r="F750" s="1"/>
    </row>
    <row r="751" spans="6:6" ht="16.5" customHeight="1">
      <c r="F751" s="1"/>
    </row>
    <row r="752" spans="6:6" ht="16.5" customHeight="1">
      <c r="F752" s="1"/>
    </row>
    <row r="753" spans="6:6" ht="16.5" customHeight="1">
      <c r="F753" s="1"/>
    </row>
    <row r="754" spans="6:6" ht="16.5" customHeight="1">
      <c r="F754" s="1"/>
    </row>
    <row r="755" spans="6:6" ht="16.5" customHeight="1">
      <c r="F755" s="1"/>
    </row>
    <row r="756" spans="6:6" ht="16.5" customHeight="1">
      <c r="F756" s="1"/>
    </row>
    <row r="757" spans="6:6" ht="16.5" customHeight="1">
      <c r="F757" s="1"/>
    </row>
    <row r="758" spans="6:6" ht="16.5" customHeight="1">
      <c r="F758" s="1"/>
    </row>
    <row r="759" spans="6:6" ht="16.5" customHeight="1">
      <c r="F759" s="1"/>
    </row>
    <row r="760" spans="6:6" ht="16.5" customHeight="1">
      <c r="F760" s="1"/>
    </row>
    <row r="761" spans="6:6" ht="16.5" customHeight="1">
      <c r="F761" s="1"/>
    </row>
    <row r="762" spans="6:6" ht="16.5" customHeight="1">
      <c r="F762" s="1"/>
    </row>
    <row r="763" spans="6:6" ht="16.5" customHeight="1">
      <c r="F763" s="1"/>
    </row>
    <row r="764" spans="6:6" ht="16.5" customHeight="1">
      <c r="F764" s="1"/>
    </row>
    <row r="765" spans="6:6" ht="16.5" customHeight="1">
      <c r="F765" s="1"/>
    </row>
    <row r="766" spans="6:6" ht="16.5" customHeight="1">
      <c r="F766" s="1"/>
    </row>
    <row r="767" spans="6:6" ht="16.5" customHeight="1">
      <c r="F767" s="1"/>
    </row>
    <row r="768" spans="6:6" ht="16.5" customHeight="1">
      <c r="F768" s="1"/>
    </row>
    <row r="769" spans="6:6" ht="16.5" customHeight="1">
      <c r="F769" s="1"/>
    </row>
    <row r="770" spans="6:6" ht="16.5" customHeight="1">
      <c r="F770" s="1"/>
    </row>
    <row r="771" spans="6:6" ht="16.5" customHeight="1">
      <c r="F771" s="1"/>
    </row>
    <row r="772" spans="6:6" ht="16.5" customHeight="1">
      <c r="F772" s="1"/>
    </row>
    <row r="773" spans="6:6" ht="16.5" customHeight="1">
      <c r="F773" s="1"/>
    </row>
    <row r="774" spans="6:6" ht="16.5" customHeight="1">
      <c r="F774" s="1"/>
    </row>
    <row r="775" spans="6:6" ht="16.5" customHeight="1">
      <c r="F775" s="1"/>
    </row>
    <row r="776" spans="6:6" ht="16.5" customHeight="1">
      <c r="F776" s="1"/>
    </row>
    <row r="777" spans="6:6" ht="16.5" customHeight="1">
      <c r="F777" s="1"/>
    </row>
    <row r="778" spans="6:6" ht="16.5" customHeight="1">
      <c r="F778" s="1"/>
    </row>
    <row r="779" spans="6:6" ht="16.5" customHeight="1">
      <c r="F779" s="1"/>
    </row>
    <row r="780" spans="6:6" ht="16.5" customHeight="1">
      <c r="F780" s="1"/>
    </row>
    <row r="781" spans="6:6" ht="16.5" customHeight="1">
      <c r="F781" s="1"/>
    </row>
    <row r="782" spans="6:6" ht="16.5" customHeight="1">
      <c r="F782" s="1"/>
    </row>
    <row r="783" spans="6:6" ht="16.5" customHeight="1">
      <c r="F783" s="1"/>
    </row>
    <row r="784" spans="6:6" ht="16.5" customHeight="1">
      <c r="F784" s="1"/>
    </row>
    <row r="785" spans="6:6" ht="16.5" customHeight="1">
      <c r="F785" s="1"/>
    </row>
    <row r="786" spans="6:6" ht="16.5" customHeight="1">
      <c r="F786" s="1"/>
    </row>
    <row r="787" spans="6:6" ht="16.5" customHeight="1">
      <c r="F787" s="1"/>
    </row>
    <row r="788" spans="6:6" ht="16.5" customHeight="1">
      <c r="F788" s="1"/>
    </row>
    <row r="789" spans="6:6" ht="16.5" customHeight="1">
      <c r="F789" s="1"/>
    </row>
    <row r="790" spans="6:6" ht="16.5" customHeight="1">
      <c r="F790" s="1"/>
    </row>
    <row r="791" spans="6:6" ht="16.5" customHeight="1">
      <c r="F791" s="1"/>
    </row>
    <row r="792" spans="6:6" ht="16.5" customHeight="1">
      <c r="F792" s="1"/>
    </row>
    <row r="793" spans="6:6" ht="16.5" customHeight="1">
      <c r="F793" s="1"/>
    </row>
    <row r="794" spans="6:6" ht="16.5" customHeight="1">
      <c r="F794" s="1"/>
    </row>
    <row r="795" spans="6:6" ht="16.5" customHeight="1">
      <c r="F795" s="1"/>
    </row>
    <row r="796" spans="6:6" ht="16.5" customHeight="1">
      <c r="F796" s="1"/>
    </row>
    <row r="797" spans="6:6" ht="16.5" customHeight="1">
      <c r="F797" s="1"/>
    </row>
    <row r="798" spans="6:6" ht="16.5" customHeight="1">
      <c r="F798" s="1"/>
    </row>
    <row r="799" spans="6:6" ht="16.5" customHeight="1">
      <c r="F799" s="1"/>
    </row>
    <row r="800" spans="6:6" ht="16.5" customHeight="1">
      <c r="F800" s="1"/>
    </row>
    <row r="801" spans="6:6" ht="16.5" customHeight="1">
      <c r="F801" s="1"/>
    </row>
    <row r="802" spans="6:6" ht="16.5" customHeight="1">
      <c r="F802" s="1"/>
    </row>
    <row r="803" spans="6:6" ht="16.5" customHeight="1">
      <c r="F803" s="1"/>
    </row>
    <row r="804" spans="6:6" ht="16.5" customHeight="1">
      <c r="F804" s="1"/>
    </row>
    <row r="805" spans="6:6" ht="16.5" customHeight="1">
      <c r="F805" s="1"/>
    </row>
    <row r="806" spans="6:6" ht="16.5" customHeight="1">
      <c r="F806" s="1"/>
    </row>
    <row r="807" spans="6:6" ht="16.5" customHeight="1">
      <c r="F807" s="1"/>
    </row>
    <row r="808" spans="6:6" ht="16.5" customHeight="1">
      <c r="F808" s="1"/>
    </row>
    <row r="809" spans="6:6" ht="16.5" customHeight="1">
      <c r="F809" s="1"/>
    </row>
    <row r="810" spans="6:6" ht="16.5" customHeight="1">
      <c r="F810" s="1"/>
    </row>
    <row r="811" spans="6:6" ht="16.5" customHeight="1">
      <c r="F811" s="1"/>
    </row>
    <row r="812" spans="6:6" ht="16.5" customHeight="1">
      <c r="F812" s="1"/>
    </row>
    <row r="813" spans="6:6" ht="16.5" customHeight="1">
      <c r="F813" s="1"/>
    </row>
    <row r="814" spans="6:6" ht="16.5" customHeight="1">
      <c r="F814" s="1"/>
    </row>
    <row r="815" spans="6:6" ht="16.5" customHeight="1">
      <c r="F815" s="1"/>
    </row>
    <row r="816" spans="6:6" ht="16.5" customHeight="1">
      <c r="F816" s="1"/>
    </row>
    <row r="817" spans="6:6" ht="16.5" customHeight="1">
      <c r="F817" s="1"/>
    </row>
    <row r="818" spans="6:6" ht="16.5" customHeight="1">
      <c r="F818" s="1"/>
    </row>
    <row r="819" spans="6:6" ht="16.5" customHeight="1">
      <c r="F819" s="1"/>
    </row>
    <row r="820" spans="6:6" ht="16.5" customHeight="1">
      <c r="F820" s="1"/>
    </row>
    <row r="821" spans="6:6" ht="16.5" customHeight="1">
      <c r="F821" s="1"/>
    </row>
    <row r="822" spans="6:6" ht="16.5" customHeight="1">
      <c r="F822" s="1"/>
    </row>
    <row r="823" spans="6:6" ht="16.5" customHeight="1">
      <c r="F823" s="1"/>
    </row>
    <row r="824" spans="6:6" ht="16.5" customHeight="1">
      <c r="F824" s="1"/>
    </row>
    <row r="825" spans="6:6" ht="16.5" customHeight="1">
      <c r="F825" s="1"/>
    </row>
    <row r="826" spans="6:6" ht="16.5" customHeight="1">
      <c r="F826" s="1"/>
    </row>
    <row r="827" spans="6:6" ht="16.5" customHeight="1">
      <c r="F827" s="1"/>
    </row>
    <row r="828" spans="6:6" ht="16.5" customHeight="1">
      <c r="F828" s="1"/>
    </row>
    <row r="829" spans="6:6" ht="16.5" customHeight="1">
      <c r="F829" s="1"/>
    </row>
    <row r="830" spans="6:6" ht="16.5" customHeight="1">
      <c r="F830" s="1"/>
    </row>
    <row r="831" spans="6:6" ht="16.5" customHeight="1">
      <c r="F831" s="1"/>
    </row>
    <row r="832" spans="6:6" ht="16.5" customHeight="1">
      <c r="F832" s="1"/>
    </row>
    <row r="833" spans="6:6" ht="16.5" customHeight="1">
      <c r="F833" s="1"/>
    </row>
    <row r="834" spans="6:6" ht="16.5" customHeight="1">
      <c r="F834" s="1"/>
    </row>
    <row r="835" spans="6:6" ht="16.5" customHeight="1">
      <c r="F835" s="1"/>
    </row>
    <row r="836" spans="6:6" ht="16.5" customHeight="1">
      <c r="F836" s="1"/>
    </row>
    <row r="837" spans="6:6" ht="16.5" customHeight="1">
      <c r="F837" s="1"/>
    </row>
    <row r="838" spans="6:6" ht="16.5" customHeight="1">
      <c r="F838" s="1"/>
    </row>
    <row r="839" spans="6:6" ht="16.5" customHeight="1">
      <c r="F839" s="1"/>
    </row>
    <row r="840" spans="6:6" ht="16.5" customHeight="1">
      <c r="F840" s="1"/>
    </row>
    <row r="841" spans="6:6" ht="16.5" customHeight="1">
      <c r="F841" s="1"/>
    </row>
    <row r="842" spans="6:6" ht="16.5" customHeight="1">
      <c r="F842" s="1"/>
    </row>
    <row r="843" spans="6:6" ht="16.5" customHeight="1">
      <c r="F843" s="1"/>
    </row>
    <row r="844" spans="6:6" ht="16.5" customHeight="1">
      <c r="F844" s="1"/>
    </row>
    <row r="845" spans="6:6" ht="16.5" customHeight="1">
      <c r="F845" s="1"/>
    </row>
    <row r="846" spans="6:6" ht="16.5" customHeight="1">
      <c r="F846" s="1"/>
    </row>
    <row r="847" spans="6:6" ht="16.5" customHeight="1">
      <c r="F847" s="1"/>
    </row>
    <row r="848" spans="6:6" ht="16.5" customHeight="1">
      <c r="F848" s="1"/>
    </row>
    <row r="849" spans="6:6" ht="16.5" customHeight="1">
      <c r="F849" s="1"/>
    </row>
    <row r="850" spans="6:6" ht="16.5" customHeight="1">
      <c r="F850" s="1"/>
    </row>
    <row r="851" spans="6:6" ht="16.5" customHeight="1">
      <c r="F851" s="1"/>
    </row>
    <row r="852" spans="6:6" ht="16.5" customHeight="1">
      <c r="F852" s="1"/>
    </row>
    <row r="853" spans="6:6" ht="16.5" customHeight="1">
      <c r="F853" s="1"/>
    </row>
    <row r="854" spans="6:6" ht="16.5" customHeight="1">
      <c r="F854" s="1"/>
    </row>
    <row r="855" spans="6:6" ht="16.5" customHeight="1">
      <c r="F855" s="1"/>
    </row>
    <row r="856" spans="6:6" ht="16.5" customHeight="1">
      <c r="F856" s="1"/>
    </row>
    <row r="857" spans="6:6" ht="16.5" customHeight="1">
      <c r="F857" s="1"/>
    </row>
    <row r="858" spans="6:6" ht="16.5" customHeight="1">
      <c r="F858" s="1"/>
    </row>
    <row r="859" spans="6:6" ht="16.5" customHeight="1">
      <c r="F859" s="1"/>
    </row>
    <row r="860" spans="6:6" ht="16.5" customHeight="1">
      <c r="F860" s="1"/>
    </row>
    <row r="861" spans="6:6" ht="16.5" customHeight="1">
      <c r="F861" s="1"/>
    </row>
    <row r="862" spans="6:6" ht="16.5" customHeight="1">
      <c r="F862" s="1"/>
    </row>
    <row r="863" spans="6:6" ht="16.5" customHeight="1">
      <c r="F863" s="1"/>
    </row>
    <row r="864" spans="6:6" ht="16.5" customHeight="1">
      <c r="F864" s="1"/>
    </row>
    <row r="865" spans="6:6" ht="16.5" customHeight="1">
      <c r="F865" s="1"/>
    </row>
    <row r="866" spans="6:6" ht="16.5" customHeight="1">
      <c r="F866" s="1"/>
    </row>
    <row r="867" spans="6:6" ht="16.5" customHeight="1">
      <c r="F867" s="1"/>
    </row>
    <row r="868" spans="6:6" ht="16.5" customHeight="1">
      <c r="F868" s="1"/>
    </row>
    <row r="869" spans="6:6" ht="16.5" customHeight="1">
      <c r="F869" s="1"/>
    </row>
    <row r="870" spans="6:6" ht="16.5" customHeight="1">
      <c r="F870" s="1"/>
    </row>
    <row r="871" spans="6:6" ht="16.5" customHeight="1">
      <c r="F871" s="1"/>
    </row>
    <row r="872" spans="6:6" ht="16.5" customHeight="1">
      <c r="F872" s="1"/>
    </row>
    <row r="873" spans="6:6" ht="16.5" customHeight="1">
      <c r="F873" s="1"/>
    </row>
    <row r="874" spans="6:6" ht="16.5" customHeight="1">
      <c r="F874" s="1"/>
    </row>
    <row r="875" spans="6:6" ht="16.5" customHeight="1">
      <c r="F875" s="1"/>
    </row>
    <row r="876" spans="6:6" ht="16.5" customHeight="1">
      <c r="F876" s="1"/>
    </row>
    <row r="877" spans="6:6" ht="16.5" customHeight="1">
      <c r="F877" s="1"/>
    </row>
    <row r="878" spans="6:6" ht="16.5" customHeight="1">
      <c r="F878" s="1"/>
    </row>
    <row r="879" spans="6:6" ht="16.5" customHeight="1">
      <c r="F879" s="1"/>
    </row>
    <row r="880" spans="6:6" ht="16.5" customHeight="1">
      <c r="F880" s="1"/>
    </row>
    <row r="881" spans="6:6" ht="16.5" customHeight="1">
      <c r="F881" s="1"/>
    </row>
    <row r="882" spans="6:6" ht="16.5" customHeight="1">
      <c r="F882" s="1"/>
    </row>
    <row r="883" spans="6:6" ht="16.5" customHeight="1">
      <c r="F883" s="1"/>
    </row>
    <row r="884" spans="6:6" ht="16.5" customHeight="1">
      <c r="F884" s="1"/>
    </row>
    <row r="885" spans="6:6" ht="16.5" customHeight="1">
      <c r="F885" s="1"/>
    </row>
    <row r="886" spans="6:6" ht="16.5" customHeight="1">
      <c r="F886" s="1"/>
    </row>
    <row r="887" spans="6:6" ht="16.5" customHeight="1">
      <c r="F887" s="1"/>
    </row>
    <row r="888" spans="6:6" ht="16.5" customHeight="1">
      <c r="F888" s="1"/>
    </row>
    <row r="889" spans="6:6" ht="16.5" customHeight="1">
      <c r="F889" s="1"/>
    </row>
    <row r="890" spans="6:6" ht="16.5" customHeight="1">
      <c r="F890" s="1"/>
    </row>
    <row r="891" spans="6:6" ht="16.5" customHeight="1">
      <c r="F891" s="1"/>
    </row>
    <row r="892" spans="6:6" ht="16.5" customHeight="1">
      <c r="F892" s="1"/>
    </row>
    <row r="893" spans="6:6" ht="16.5" customHeight="1">
      <c r="F893" s="1"/>
    </row>
    <row r="894" spans="6:6" ht="16.5" customHeight="1">
      <c r="F894" s="1"/>
    </row>
    <row r="895" spans="6:6" ht="16.5" customHeight="1">
      <c r="F895" s="1"/>
    </row>
    <row r="896" spans="6:6" ht="16.5" customHeight="1">
      <c r="F896" s="1"/>
    </row>
    <row r="897" spans="6:6" ht="16.5" customHeight="1">
      <c r="F897" s="1"/>
    </row>
    <row r="898" spans="6:6" ht="16.5" customHeight="1">
      <c r="F898" s="1"/>
    </row>
    <row r="899" spans="6:6" ht="16.5" customHeight="1">
      <c r="F899" s="1"/>
    </row>
    <row r="900" spans="6:6" ht="16.5" customHeight="1">
      <c r="F900" s="1"/>
    </row>
    <row r="901" spans="6:6" ht="16.5" customHeight="1">
      <c r="F901" s="1"/>
    </row>
    <row r="902" spans="6:6" ht="16.5" customHeight="1">
      <c r="F902" s="1"/>
    </row>
    <row r="903" spans="6:6" ht="16.5" customHeight="1">
      <c r="F903" s="1"/>
    </row>
    <row r="904" spans="6:6" ht="16.5" customHeight="1">
      <c r="F904" s="1"/>
    </row>
    <row r="905" spans="6:6" ht="16.5" customHeight="1">
      <c r="F905" s="1"/>
    </row>
    <row r="906" spans="6:6" ht="16.5" customHeight="1">
      <c r="F906" s="1"/>
    </row>
    <row r="907" spans="6:6" ht="16.5" customHeight="1">
      <c r="F907" s="1"/>
    </row>
    <row r="908" spans="6:6" ht="16.5" customHeight="1">
      <c r="F908" s="1"/>
    </row>
    <row r="909" spans="6:6" ht="16.5" customHeight="1">
      <c r="F909" s="1"/>
    </row>
    <row r="910" spans="6:6" ht="16.5" customHeight="1">
      <c r="F910" s="1"/>
    </row>
    <row r="911" spans="6:6" ht="16.5" customHeight="1">
      <c r="F911" s="1"/>
    </row>
    <row r="912" spans="6:6" ht="16.5" customHeight="1">
      <c r="F912" s="1"/>
    </row>
    <row r="913" spans="6:6" ht="16.5" customHeight="1">
      <c r="F913" s="1"/>
    </row>
    <row r="914" spans="6:6" ht="16.5" customHeight="1">
      <c r="F914" s="1"/>
    </row>
    <row r="915" spans="6:6" ht="16.5" customHeight="1">
      <c r="F915" s="1"/>
    </row>
    <row r="916" spans="6:6" ht="16.5" customHeight="1">
      <c r="F916" s="1"/>
    </row>
    <row r="917" spans="6:6" ht="16.5" customHeight="1">
      <c r="F917" s="1"/>
    </row>
    <row r="918" spans="6:6" ht="16.5" customHeight="1">
      <c r="F918" s="1"/>
    </row>
    <row r="919" spans="6:6" ht="16.5" customHeight="1">
      <c r="F919" s="1"/>
    </row>
    <row r="920" spans="6:6" ht="16.5" customHeight="1">
      <c r="F920" s="1"/>
    </row>
    <row r="921" spans="6:6" ht="16.5" customHeight="1">
      <c r="F921" s="1"/>
    </row>
    <row r="922" spans="6:6" ht="16.5" customHeight="1">
      <c r="F922" s="1"/>
    </row>
    <row r="923" spans="6:6" ht="16.5" customHeight="1">
      <c r="F923" s="1"/>
    </row>
    <row r="924" spans="6:6" ht="16.5" customHeight="1">
      <c r="F924" s="1"/>
    </row>
    <row r="925" spans="6:6" ht="16.5" customHeight="1">
      <c r="F925" s="1"/>
    </row>
    <row r="926" spans="6:6" ht="16.5" customHeight="1">
      <c r="F926" s="1"/>
    </row>
    <row r="927" spans="6:6" ht="16.5" customHeight="1">
      <c r="F927" s="1"/>
    </row>
    <row r="928" spans="6:6" ht="16.5" customHeight="1">
      <c r="F928" s="1"/>
    </row>
    <row r="929" spans="6:6" ht="16.5" customHeight="1">
      <c r="F929" s="1"/>
    </row>
    <row r="930" spans="6:6" ht="16.5" customHeight="1">
      <c r="F930" s="1"/>
    </row>
    <row r="931" spans="6:6" ht="16.5" customHeight="1">
      <c r="F931" s="1"/>
    </row>
    <row r="932" spans="6:6" ht="16.5" customHeight="1">
      <c r="F932" s="1"/>
    </row>
    <row r="933" spans="6:6" ht="16.5" customHeight="1">
      <c r="F933" s="1"/>
    </row>
    <row r="934" spans="6:6" ht="16.5" customHeight="1">
      <c r="F934" s="1"/>
    </row>
    <row r="935" spans="6:6" ht="16.5" customHeight="1">
      <c r="F935" s="1"/>
    </row>
    <row r="936" spans="6:6" ht="16.5" customHeight="1">
      <c r="F936" s="1"/>
    </row>
    <row r="937" spans="6:6" ht="16.5" customHeight="1">
      <c r="F937" s="1"/>
    </row>
    <row r="938" spans="6:6" ht="16.5" customHeight="1">
      <c r="F938" s="1"/>
    </row>
    <row r="939" spans="6:6" ht="16.5" customHeight="1">
      <c r="F939" s="1"/>
    </row>
    <row r="940" spans="6:6" ht="16.5" customHeight="1">
      <c r="F940" s="1"/>
    </row>
    <row r="941" spans="6:6" ht="16.5" customHeight="1">
      <c r="F941" s="1"/>
    </row>
    <row r="942" spans="6:6" ht="16.5" customHeight="1">
      <c r="F942" s="1"/>
    </row>
    <row r="943" spans="6:6" ht="16.5" customHeight="1">
      <c r="F943" s="1"/>
    </row>
    <row r="944" spans="6:6" ht="16.5" customHeight="1">
      <c r="F944" s="1"/>
    </row>
    <row r="945" spans="6:6" ht="16.5" customHeight="1">
      <c r="F945" s="1"/>
    </row>
    <row r="946" spans="6:6" ht="16.5" customHeight="1">
      <c r="F946" s="1"/>
    </row>
    <row r="947" spans="6:6" ht="16.5" customHeight="1">
      <c r="F947" s="1"/>
    </row>
    <row r="948" spans="6:6" ht="16.5" customHeight="1">
      <c r="F948" s="1"/>
    </row>
    <row r="949" spans="6:6" ht="16.5" customHeight="1">
      <c r="F949" s="1"/>
    </row>
    <row r="950" spans="6:6" ht="16.5" customHeight="1">
      <c r="F950" s="1"/>
    </row>
    <row r="951" spans="6:6" ht="16.5" customHeight="1">
      <c r="F951" s="1"/>
    </row>
    <row r="952" spans="6:6" ht="16.5" customHeight="1">
      <c r="F952" s="1"/>
    </row>
    <row r="953" spans="6:6" ht="16.5" customHeight="1">
      <c r="F953" s="1"/>
    </row>
    <row r="954" spans="6:6" ht="16.5" customHeight="1">
      <c r="F954" s="1"/>
    </row>
    <row r="955" spans="6:6" ht="16.5" customHeight="1">
      <c r="F955" s="1"/>
    </row>
    <row r="956" spans="6:6" ht="16.5" customHeight="1">
      <c r="F956" s="1"/>
    </row>
    <row r="957" spans="6:6" ht="16.5" customHeight="1">
      <c r="F957" s="1"/>
    </row>
    <row r="958" spans="6:6" ht="16.5" customHeight="1">
      <c r="F958" s="1"/>
    </row>
    <row r="959" spans="6:6" ht="16.5" customHeight="1">
      <c r="F959" s="1"/>
    </row>
    <row r="960" spans="6:6" ht="16.5" customHeight="1">
      <c r="F960" s="1"/>
    </row>
    <row r="961" spans="6:6" ht="16.5" customHeight="1">
      <c r="F961" s="1"/>
    </row>
    <row r="962" spans="6:6" ht="16.5" customHeight="1">
      <c r="F962" s="1"/>
    </row>
    <row r="963" spans="6:6" ht="16.5" customHeight="1">
      <c r="F963" s="1"/>
    </row>
    <row r="964" spans="6:6" ht="16.5" customHeight="1">
      <c r="F964" s="1"/>
    </row>
    <row r="965" spans="6:6" ht="16.5" customHeight="1">
      <c r="F965" s="1"/>
    </row>
    <row r="966" spans="6:6" ht="16.5" customHeight="1">
      <c r="F966" s="1"/>
    </row>
    <row r="967" spans="6:6" ht="16.5" customHeight="1">
      <c r="F967" s="1"/>
    </row>
    <row r="968" spans="6:6" ht="16.5" customHeight="1">
      <c r="F968" s="1"/>
    </row>
    <row r="969" spans="6:6" ht="16.5" customHeight="1">
      <c r="F969" s="1"/>
    </row>
    <row r="970" spans="6:6" ht="16.5" customHeight="1">
      <c r="F970" s="1"/>
    </row>
    <row r="971" spans="6:6" ht="16.5" customHeight="1">
      <c r="F971" s="1"/>
    </row>
    <row r="972" spans="6:6" ht="16.5" customHeight="1">
      <c r="F972" s="1"/>
    </row>
    <row r="973" spans="6:6" ht="16.5" customHeight="1">
      <c r="F973" s="1"/>
    </row>
    <row r="974" spans="6:6" ht="16.5" customHeight="1">
      <c r="F974" s="1"/>
    </row>
    <row r="975" spans="6:6" ht="16.5" customHeight="1">
      <c r="F975" s="1"/>
    </row>
    <row r="976" spans="6:6" ht="16.5" customHeight="1">
      <c r="F976" s="1"/>
    </row>
    <row r="977" spans="6:6" ht="16.5" customHeight="1">
      <c r="F977" s="1"/>
    </row>
    <row r="978" spans="6:6" ht="16.5" customHeight="1">
      <c r="F978" s="1"/>
    </row>
    <row r="979" spans="6:6" ht="16.5" customHeight="1">
      <c r="F979" s="1"/>
    </row>
    <row r="980" spans="6:6" ht="16.5" customHeight="1">
      <c r="F980" s="1"/>
    </row>
    <row r="981" spans="6:6" ht="16.5" customHeight="1">
      <c r="F981" s="1"/>
    </row>
    <row r="982" spans="6:6" ht="16.5" customHeight="1">
      <c r="F982" s="1"/>
    </row>
    <row r="983" spans="6:6" ht="16.5" customHeight="1">
      <c r="F983" s="1"/>
    </row>
    <row r="984" spans="6:6" ht="16.5" customHeight="1">
      <c r="F984" s="1"/>
    </row>
    <row r="985" spans="6:6" ht="16.5" customHeight="1">
      <c r="F985" s="1"/>
    </row>
    <row r="986" spans="6:6" ht="16.5" customHeight="1">
      <c r="F986" s="1"/>
    </row>
    <row r="987" spans="6:6" ht="16.5" customHeight="1">
      <c r="F987" s="1"/>
    </row>
    <row r="988" spans="6:6" ht="16.5" customHeight="1">
      <c r="F988" s="1"/>
    </row>
    <row r="989" spans="6:6" ht="16.5" customHeight="1">
      <c r="F989" s="1"/>
    </row>
    <row r="990" spans="6:6" ht="16.5" customHeight="1">
      <c r="F990" s="1"/>
    </row>
    <row r="991" spans="6:6" ht="16.5" customHeight="1">
      <c r="F991" s="1"/>
    </row>
    <row r="992" spans="6:6" ht="16.5" customHeight="1">
      <c r="F992" s="1"/>
    </row>
    <row r="993" spans="6:6" ht="16.5" customHeight="1">
      <c r="F993" s="1"/>
    </row>
    <row r="994" spans="6:6" ht="16.5" customHeight="1">
      <c r="F994" s="1"/>
    </row>
    <row r="995" spans="6:6" ht="16.5" customHeight="1">
      <c r="F995" s="1"/>
    </row>
    <row r="996" spans="6:6" ht="16.5" customHeight="1">
      <c r="F996" s="1"/>
    </row>
    <row r="997" spans="6:6" ht="16.5" customHeight="1">
      <c r="F997" s="1"/>
    </row>
    <row r="998" spans="6:6" ht="16.5" customHeight="1">
      <c r="F998" s="1"/>
    </row>
    <row r="999" spans="6:6" ht="16.5" customHeight="1">
      <c r="F999" s="1"/>
    </row>
    <row r="1000" spans="6:6" ht="16.5" customHeight="1">
      <c r="F1000" s="1"/>
    </row>
  </sheetData>
  <mergeCells count="2">
    <mergeCell ref="C24:F24"/>
    <mergeCell ref="H24:I24"/>
  </mergeCells>
  <conditionalFormatting sqref="J3">
    <cfRule type="cellIs" dxfId="1" priority="1" operator="greaterThan">
      <formula>$J$2</formula>
    </cfRule>
  </conditionalFormatting>
  <conditionalFormatting sqref="J3">
    <cfRule type="cellIs" dxfId="0" priority="2" operator="greaterThan">
      <formula>$J$2</formula>
    </cfRule>
  </conditionalFormatting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Q1000"/>
  <sheetViews>
    <sheetView topLeftCell="A3" workbookViewId="0">
      <selection activeCell="C13" sqref="C13"/>
    </sheetView>
  </sheetViews>
  <sheetFormatPr baseColWidth="10" defaultColWidth="12.625" defaultRowHeight="15" customHeight="1"/>
  <cols>
    <col min="1" max="2" width="9.375" customWidth="1"/>
    <col min="3" max="3" width="40.5" customWidth="1"/>
    <col min="4" max="6" width="9.375" customWidth="1"/>
    <col min="7" max="7" width="23.625" customWidth="1"/>
    <col min="8" max="8" width="28.25" customWidth="1"/>
    <col min="9" max="9" width="9.375" customWidth="1"/>
    <col min="10" max="10" width="17.875" customWidth="1"/>
    <col min="11" max="11" width="9.375" customWidth="1"/>
    <col min="12" max="12" width="12" customWidth="1"/>
    <col min="13" max="26" width="9.375" customWidth="1"/>
  </cols>
  <sheetData>
    <row r="1" spans="3:17">
      <c r="M1" s="1"/>
    </row>
    <row r="2" spans="3:17">
      <c r="D2" s="3"/>
      <c r="E2" s="3"/>
      <c r="F2" s="3"/>
      <c r="G2" s="3"/>
      <c r="H2" s="3"/>
      <c r="I2" s="3"/>
      <c r="J2" s="3"/>
      <c r="M2" s="1"/>
    </row>
    <row r="3" spans="3:17" ht="19.5">
      <c r="C3" s="6" t="s">
        <v>1</v>
      </c>
      <c r="D3" s="8"/>
      <c r="E3" s="3"/>
      <c r="F3" s="3"/>
      <c r="G3" s="11" t="s">
        <v>8</v>
      </c>
      <c r="H3" s="17"/>
      <c r="I3" s="3"/>
      <c r="J3" s="19" t="s">
        <v>15</v>
      </c>
      <c r="K3" s="21" t="s">
        <v>17</v>
      </c>
      <c r="L3" s="11" t="s">
        <v>19</v>
      </c>
      <c r="M3" s="23" t="s">
        <v>20</v>
      </c>
    </row>
    <row r="4" spans="3:17">
      <c r="C4" s="24" t="s">
        <v>22</v>
      </c>
      <c r="D4" s="3"/>
      <c r="G4" s="26" t="s">
        <v>23</v>
      </c>
      <c r="H4" s="28" t="s">
        <v>25</v>
      </c>
      <c r="J4" s="30" t="s">
        <v>27</v>
      </c>
      <c r="K4" s="32">
        <v>2</v>
      </c>
      <c r="L4" s="34" t="s">
        <v>21</v>
      </c>
      <c r="M4" s="104" t="s">
        <v>31</v>
      </c>
    </row>
    <row r="5" spans="3:17">
      <c r="C5" s="37" t="s">
        <v>36</v>
      </c>
      <c r="D5" s="39"/>
      <c r="G5" s="41" t="s">
        <v>38</v>
      </c>
      <c r="H5" s="24" t="s">
        <v>26</v>
      </c>
      <c r="J5" s="30" t="s">
        <v>39</v>
      </c>
      <c r="K5" s="32">
        <v>1</v>
      </c>
      <c r="L5" s="34" t="s">
        <v>21</v>
      </c>
      <c r="M5" s="105"/>
      <c r="P5" s="44"/>
    </row>
    <row r="6" spans="3:17">
      <c r="C6" s="24" t="s">
        <v>44</v>
      </c>
      <c r="D6" s="39"/>
      <c r="G6" s="41" t="s">
        <v>45</v>
      </c>
      <c r="H6" s="24" t="s">
        <v>46</v>
      </c>
      <c r="J6" s="30" t="s">
        <v>47</v>
      </c>
      <c r="K6" s="32">
        <v>2</v>
      </c>
      <c r="L6" s="46" t="s">
        <v>21</v>
      </c>
      <c r="M6" s="105"/>
    </row>
    <row r="7" spans="3:17">
      <c r="C7" s="24"/>
      <c r="D7" s="39"/>
      <c r="G7" s="48" t="s">
        <v>48</v>
      </c>
      <c r="H7" s="50" t="s">
        <v>49</v>
      </c>
      <c r="J7" s="30" t="s">
        <v>54</v>
      </c>
      <c r="K7" s="32">
        <v>1</v>
      </c>
      <c r="L7" s="46" t="s">
        <v>21</v>
      </c>
      <c r="M7" s="105"/>
      <c r="Q7" s="3"/>
    </row>
    <row r="8" spans="3:17">
      <c r="C8" s="50"/>
      <c r="D8" s="39"/>
      <c r="J8" s="30" t="s">
        <v>55</v>
      </c>
      <c r="K8" s="32">
        <v>1</v>
      </c>
      <c r="L8" s="46" t="s">
        <v>21</v>
      </c>
      <c r="M8" s="105"/>
    </row>
    <row r="9" spans="3:17">
      <c r="D9" s="39"/>
      <c r="J9" s="30" t="s">
        <v>58</v>
      </c>
      <c r="K9" s="32">
        <v>1</v>
      </c>
      <c r="L9" s="46" t="s">
        <v>21</v>
      </c>
      <c r="M9" s="105"/>
      <c r="N9" s="54"/>
    </row>
    <row r="10" spans="3:17">
      <c r="D10" s="39"/>
      <c r="G10" s="19" t="s">
        <v>67</v>
      </c>
      <c r="J10" s="30" t="s">
        <v>68</v>
      </c>
      <c r="K10" s="32">
        <v>2</v>
      </c>
      <c r="L10" s="46" t="s">
        <v>21</v>
      </c>
      <c r="M10" s="105"/>
    </row>
    <row r="11" spans="3:17">
      <c r="D11" s="39"/>
      <c r="G11" s="30" t="s">
        <v>69</v>
      </c>
      <c r="H11" s="30" t="s">
        <v>70</v>
      </c>
      <c r="J11" s="57" t="s">
        <v>71</v>
      </c>
      <c r="K11" s="66">
        <v>1</v>
      </c>
      <c r="L11" s="46" t="s">
        <v>21</v>
      </c>
      <c r="M11" s="105"/>
    </row>
    <row r="12" spans="3:17">
      <c r="D12" s="39"/>
      <c r="G12" s="30"/>
      <c r="H12" s="30"/>
      <c r="J12" s="30" t="s">
        <v>76</v>
      </c>
      <c r="K12" s="32">
        <v>1</v>
      </c>
      <c r="L12" s="68" t="s">
        <v>21</v>
      </c>
      <c r="M12" s="105"/>
    </row>
    <row r="13" spans="3:17">
      <c r="D13" s="39"/>
      <c r="G13" s="1"/>
      <c r="H13" s="1"/>
      <c r="J13" s="30" t="s">
        <v>79</v>
      </c>
      <c r="K13" s="32">
        <v>1</v>
      </c>
      <c r="L13" s="70" t="s">
        <v>21</v>
      </c>
      <c r="M13" s="106"/>
    </row>
    <row r="14" spans="3:17">
      <c r="D14" s="39"/>
      <c r="J14" s="72" t="s">
        <v>80</v>
      </c>
      <c r="K14" s="74">
        <v>1</v>
      </c>
      <c r="L14" s="34" t="s">
        <v>21</v>
      </c>
      <c r="M14" s="104" t="s">
        <v>81</v>
      </c>
    </row>
    <row r="15" spans="3:17">
      <c r="G15" s="1"/>
      <c r="H15" s="1"/>
      <c r="J15" s="30" t="s">
        <v>82</v>
      </c>
      <c r="K15" s="32">
        <v>1</v>
      </c>
      <c r="L15" s="34" t="s">
        <v>21</v>
      </c>
      <c r="M15" s="105"/>
      <c r="P15" s="3"/>
    </row>
    <row r="16" spans="3:17">
      <c r="J16" s="30" t="s">
        <v>84</v>
      </c>
      <c r="K16" s="32">
        <v>1</v>
      </c>
      <c r="L16" s="46" t="s">
        <v>21</v>
      </c>
      <c r="M16" s="105"/>
    </row>
    <row r="17" spans="6:14">
      <c r="J17" s="30" t="s">
        <v>27</v>
      </c>
      <c r="K17" s="32">
        <v>7</v>
      </c>
      <c r="L17" s="46" t="s">
        <v>21</v>
      </c>
      <c r="M17" s="105"/>
    </row>
    <row r="18" spans="6:14">
      <c r="J18" s="30" t="s">
        <v>86</v>
      </c>
      <c r="K18" s="32">
        <v>2</v>
      </c>
      <c r="L18" s="68" t="s">
        <v>21</v>
      </c>
      <c r="M18" s="105"/>
    </row>
    <row r="19" spans="6:14">
      <c r="J19" s="30" t="s">
        <v>39</v>
      </c>
      <c r="K19" s="32">
        <v>1</v>
      </c>
      <c r="L19" s="70" t="s">
        <v>21</v>
      </c>
      <c r="M19" s="105"/>
    </row>
    <row r="20" spans="6:14">
      <c r="J20" s="30" t="s">
        <v>87</v>
      </c>
      <c r="K20" s="32">
        <v>2</v>
      </c>
      <c r="L20" s="77" t="s">
        <v>21</v>
      </c>
      <c r="M20" s="105"/>
    </row>
    <row r="21" spans="6:14" ht="15.75" customHeight="1">
      <c r="J21" s="30" t="s">
        <v>90</v>
      </c>
      <c r="K21" s="32">
        <v>1</v>
      </c>
      <c r="L21" s="70" t="s">
        <v>21</v>
      </c>
      <c r="M21" s="105"/>
      <c r="N21" s="54"/>
    </row>
    <row r="22" spans="6:14" ht="15.75" customHeight="1">
      <c r="J22" s="30" t="s">
        <v>91</v>
      </c>
      <c r="K22" s="32">
        <v>1</v>
      </c>
      <c r="L22" s="34" t="s">
        <v>21</v>
      </c>
      <c r="M22" s="105"/>
    </row>
    <row r="23" spans="6:14" ht="15.75" customHeight="1">
      <c r="J23" s="30" t="s">
        <v>93</v>
      </c>
      <c r="K23" s="32">
        <v>1</v>
      </c>
      <c r="L23" s="34" t="s">
        <v>21</v>
      </c>
      <c r="M23" s="105"/>
    </row>
    <row r="24" spans="6:14" ht="15.75" customHeight="1">
      <c r="J24" s="30" t="s">
        <v>95</v>
      </c>
      <c r="K24" s="32">
        <v>2</v>
      </c>
      <c r="L24" s="46" t="s">
        <v>21</v>
      </c>
      <c r="M24" s="105"/>
    </row>
    <row r="25" spans="6:14" ht="15.75" customHeight="1">
      <c r="J25" s="30" t="s">
        <v>96</v>
      </c>
      <c r="K25" s="32">
        <v>1</v>
      </c>
      <c r="L25" s="46" t="s">
        <v>21</v>
      </c>
      <c r="M25" s="105"/>
    </row>
    <row r="26" spans="6:14" ht="15.75" customHeight="1">
      <c r="J26" s="30" t="s">
        <v>98</v>
      </c>
      <c r="K26" s="32">
        <v>1</v>
      </c>
      <c r="L26" s="46" t="s">
        <v>21</v>
      </c>
      <c r="M26" s="105"/>
    </row>
    <row r="27" spans="6:14" ht="15.75" customHeight="1">
      <c r="J27" s="30" t="s">
        <v>99</v>
      </c>
      <c r="K27" s="32">
        <v>1</v>
      </c>
      <c r="L27" s="46" t="s">
        <v>21</v>
      </c>
      <c r="M27" s="105"/>
    </row>
    <row r="28" spans="6:14" ht="15.75" customHeight="1">
      <c r="J28" s="30" t="s">
        <v>101</v>
      </c>
      <c r="K28" s="32">
        <v>1</v>
      </c>
      <c r="L28" s="46" t="s">
        <v>21</v>
      </c>
      <c r="M28" s="105"/>
    </row>
    <row r="29" spans="6:14" ht="15.75" customHeight="1">
      <c r="J29" s="30" t="s">
        <v>103</v>
      </c>
      <c r="K29" s="32">
        <v>4</v>
      </c>
      <c r="L29" s="46" t="s">
        <v>21</v>
      </c>
      <c r="M29" s="105"/>
    </row>
    <row r="30" spans="6:14" ht="15.75" customHeight="1">
      <c r="J30" s="30" t="s">
        <v>104</v>
      </c>
      <c r="K30" s="32">
        <v>1</v>
      </c>
      <c r="L30" s="46" t="s">
        <v>21</v>
      </c>
      <c r="M30" s="105"/>
    </row>
    <row r="31" spans="6:14" ht="15.75" customHeight="1">
      <c r="F31" s="3"/>
      <c r="J31" s="30" t="s">
        <v>106</v>
      </c>
      <c r="K31" s="32">
        <v>2</v>
      </c>
      <c r="L31" s="46" t="s">
        <v>21</v>
      </c>
      <c r="M31" s="105"/>
    </row>
    <row r="32" spans="6:14" ht="15.75" customHeight="1">
      <c r="J32" s="57" t="s">
        <v>107</v>
      </c>
      <c r="K32" s="66">
        <v>1</v>
      </c>
      <c r="L32" s="46" t="s">
        <v>21</v>
      </c>
      <c r="M32" s="107"/>
    </row>
    <row r="33" spans="10:13" ht="15.75" customHeight="1">
      <c r="J33" s="30" t="s">
        <v>77</v>
      </c>
      <c r="K33" s="30">
        <v>12</v>
      </c>
      <c r="L33" s="78" t="s">
        <v>21</v>
      </c>
      <c r="M33" s="108" t="s">
        <v>108</v>
      </c>
    </row>
    <row r="34" spans="10:13" ht="15.75" customHeight="1">
      <c r="J34" s="30" t="s">
        <v>109</v>
      </c>
      <c r="K34" s="32">
        <v>1</v>
      </c>
      <c r="L34" s="68" t="s">
        <v>21</v>
      </c>
      <c r="M34" s="109"/>
    </row>
    <row r="35" spans="10:13" ht="15.75" customHeight="1">
      <c r="J35" s="30" t="s">
        <v>27</v>
      </c>
      <c r="K35" s="32">
        <v>2</v>
      </c>
      <c r="L35" s="82" t="s">
        <v>21</v>
      </c>
      <c r="M35" s="109"/>
    </row>
    <row r="36" spans="10:13" ht="15.75" customHeight="1">
      <c r="J36" s="30" t="s">
        <v>39</v>
      </c>
      <c r="K36" s="32">
        <v>1</v>
      </c>
      <c r="L36" s="46" t="s">
        <v>21</v>
      </c>
      <c r="M36" s="109"/>
    </row>
    <row r="37" spans="10:13" ht="15.75" customHeight="1">
      <c r="J37" s="30" t="s">
        <v>76</v>
      </c>
      <c r="K37" s="32">
        <v>1</v>
      </c>
      <c r="L37" s="46" t="s">
        <v>21</v>
      </c>
      <c r="M37" s="109"/>
    </row>
    <row r="38" spans="10:13" ht="15.75" customHeight="1">
      <c r="J38" s="30" t="s">
        <v>111</v>
      </c>
      <c r="K38" s="32">
        <v>13</v>
      </c>
      <c r="L38" s="46" t="s">
        <v>21</v>
      </c>
      <c r="M38" s="109"/>
    </row>
    <row r="39" spans="10:13" ht="15.75" customHeight="1">
      <c r="J39" s="30" t="s">
        <v>95</v>
      </c>
      <c r="K39" s="32">
        <v>12</v>
      </c>
      <c r="L39" s="46" t="s">
        <v>21</v>
      </c>
      <c r="M39" s="109"/>
    </row>
    <row r="40" spans="10:13" ht="15.75" customHeight="1">
      <c r="J40" s="30" t="s">
        <v>112</v>
      </c>
      <c r="K40" s="32">
        <v>2</v>
      </c>
      <c r="L40" s="46" t="s">
        <v>21</v>
      </c>
      <c r="M40" s="109"/>
    </row>
    <row r="41" spans="10:13" ht="15.75" customHeight="1">
      <c r="J41" s="30" t="s">
        <v>113</v>
      </c>
      <c r="K41" s="32">
        <v>3</v>
      </c>
      <c r="L41" s="46" t="s">
        <v>21</v>
      </c>
      <c r="M41" s="109"/>
    </row>
    <row r="42" spans="10:13" ht="15.75" customHeight="1">
      <c r="J42" s="30" t="s">
        <v>114</v>
      </c>
      <c r="K42" s="32">
        <v>4</v>
      </c>
      <c r="L42" s="46" t="s">
        <v>21</v>
      </c>
      <c r="M42" s="109"/>
    </row>
    <row r="43" spans="10:13" ht="15.75" customHeight="1">
      <c r="J43" s="30" t="s">
        <v>115</v>
      </c>
      <c r="K43" s="32">
        <v>2</v>
      </c>
      <c r="L43" s="46" t="s">
        <v>21</v>
      </c>
      <c r="M43" s="109"/>
    </row>
    <row r="44" spans="10:13" ht="15.75" customHeight="1">
      <c r="J44" s="30" t="s">
        <v>98</v>
      </c>
      <c r="K44" s="32">
        <v>13</v>
      </c>
      <c r="L44" s="68" t="s">
        <v>21</v>
      </c>
      <c r="M44" s="110"/>
    </row>
    <row r="45" spans="10:13" ht="15.75" customHeight="1"/>
    <row r="46" spans="10:13" ht="15.75" customHeight="1"/>
    <row r="47" spans="10:13" ht="15.75" customHeight="1"/>
    <row r="48" spans="10:13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M4:M13"/>
    <mergeCell ref="M14:M32"/>
    <mergeCell ref="M33:M44"/>
  </mergeCells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1:H1000"/>
  <sheetViews>
    <sheetView workbookViewId="0"/>
  </sheetViews>
  <sheetFormatPr baseColWidth="10" defaultColWidth="12.625" defaultRowHeight="15" customHeight="1"/>
  <cols>
    <col min="1" max="1" width="5.875" customWidth="1"/>
    <col min="2" max="2" width="6.5" customWidth="1"/>
    <col min="3" max="3" width="28.375" customWidth="1"/>
    <col min="4" max="4" width="23.375" customWidth="1"/>
    <col min="5" max="5" width="16.25" customWidth="1"/>
    <col min="6" max="6" width="23.625" customWidth="1"/>
    <col min="7" max="7" width="54.125" customWidth="1"/>
    <col min="8" max="26" width="9.375" customWidth="1"/>
  </cols>
  <sheetData>
    <row r="1" spans="3:8" ht="21" customHeight="1"/>
    <row r="2" spans="3:8" ht="91.5" customHeight="1">
      <c r="C2" s="9" t="s">
        <v>2</v>
      </c>
      <c r="D2" s="12" t="s">
        <v>9</v>
      </c>
      <c r="E2" s="12" t="s">
        <v>10</v>
      </c>
      <c r="F2" s="12" t="s">
        <v>11</v>
      </c>
      <c r="G2" s="12" t="s">
        <v>12</v>
      </c>
    </row>
    <row r="3" spans="3:8" ht="91.5" customHeight="1">
      <c r="C3" s="14" t="s">
        <v>13</v>
      </c>
      <c r="D3" s="14" t="s">
        <v>14</v>
      </c>
      <c r="E3" s="16">
        <v>533</v>
      </c>
      <c r="F3" s="18"/>
      <c r="G3" s="22" t="s">
        <v>16</v>
      </c>
      <c r="H3" s="29" t="s">
        <v>21</v>
      </c>
    </row>
    <row r="4" spans="3:8" ht="91.5" customHeight="1">
      <c r="C4" s="14" t="s">
        <v>28</v>
      </c>
      <c r="D4" s="14" t="s">
        <v>29</v>
      </c>
      <c r="E4" s="16">
        <v>120</v>
      </c>
      <c r="F4" s="31"/>
      <c r="G4" s="22" t="s">
        <v>30</v>
      </c>
      <c r="H4" s="29" t="s">
        <v>21</v>
      </c>
    </row>
    <row r="5" spans="3:8" ht="91.5" customHeight="1">
      <c r="C5" s="14" t="s">
        <v>33</v>
      </c>
      <c r="D5" s="14" t="s">
        <v>34</v>
      </c>
      <c r="E5" s="16">
        <v>127</v>
      </c>
      <c r="F5" s="31"/>
      <c r="G5" s="38" t="s">
        <v>35</v>
      </c>
      <c r="H5" s="42" t="s">
        <v>21</v>
      </c>
    </row>
    <row r="6" spans="3:8" ht="91.5" customHeight="1">
      <c r="C6" s="14" t="s">
        <v>40</v>
      </c>
      <c r="D6" s="14" t="s">
        <v>41</v>
      </c>
      <c r="E6" s="16">
        <v>500</v>
      </c>
      <c r="F6" s="31"/>
      <c r="G6" s="31"/>
    </row>
    <row r="7" spans="3:8" ht="91.5" customHeight="1">
      <c r="C7" s="14" t="s">
        <v>42</v>
      </c>
      <c r="D7" s="14" t="s">
        <v>43</v>
      </c>
      <c r="E7" s="16">
        <v>871</v>
      </c>
      <c r="F7" s="31"/>
      <c r="G7" s="45"/>
      <c r="H7" s="49" t="s">
        <v>21</v>
      </c>
    </row>
    <row r="8" spans="3:8" ht="91.5" customHeight="1">
      <c r="C8" s="14" t="s">
        <v>50</v>
      </c>
      <c r="D8" s="14" t="s">
        <v>51</v>
      </c>
      <c r="E8" s="16">
        <v>127</v>
      </c>
      <c r="F8" s="31"/>
      <c r="G8" s="31"/>
    </row>
    <row r="9" spans="3:8" ht="91.5" customHeight="1">
      <c r="C9" s="14" t="s">
        <v>52</v>
      </c>
      <c r="D9" s="14" t="s">
        <v>53</v>
      </c>
      <c r="E9" s="16">
        <v>499</v>
      </c>
      <c r="F9" s="31"/>
      <c r="G9" s="45"/>
      <c r="H9" s="42" t="s">
        <v>21</v>
      </c>
    </row>
    <row r="10" spans="3:8" ht="91.5" customHeight="1">
      <c r="C10" s="14" t="s">
        <v>56</v>
      </c>
      <c r="D10" s="14" t="s">
        <v>57</v>
      </c>
      <c r="E10" s="16">
        <v>123</v>
      </c>
      <c r="F10" s="31"/>
      <c r="G10" s="31"/>
    </row>
    <row r="11" spans="3:8" ht="91.5" customHeight="1">
      <c r="C11" s="14" t="s">
        <v>59</v>
      </c>
      <c r="D11" s="14" t="s">
        <v>60</v>
      </c>
      <c r="E11" s="16">
        <v>69</v>
      </c>
      <c r="F11" s="31"/>
      <c r="G11" s="31"/>
    </row>
    <row r="12" spans="3:8" ht="91.5" customHeight="1">
      <c r="C12" s="14" t="s">
        <v>61</v>
      </c>
      <c r="D12" s="14" t="s">
        <v>62</v>
      </c>
      <c r="E12" s="16">
        <v>223</v>
      </c>
      <c r="F12" s="31"/>
      <c r="G12" s="38" t="s">
        <v>63</v>
      </c>
      <c r="H12" s="29" t="s">
        <v>21</v>
      </c>
    </row>
    <row r="13" spans="3:8" ht="91.5" customHeight="1">
      <c r="C13" s="14" t="s">
        <v>65</v>
      </c>
      <c r="D13" s="14" t="s">
        <v>66</v>
      </c>
      <c r="E13" s="16">
        <v>112</v>
      </c>
      <c r="F13" s="14"/>
      <c r="G13" s="56"/>
      <c r="H13" s="49" t="s">
        <v>21</v>
      </c>
    </row>
    <row r="14" spans="3:8" ht="91.5" customHeight="1">
      <c r="C14" s="14" t="s">
        <v>72</v>
      </c>
      <c r="D14" s="14" t="s">
        <v>73</v>
      </c>
      <c r="E14" s="16">
        <v>500</v>
      </c>
      <c r="F14" s="58"/>
      <c r="G14" s="59"/>
    </row>
    <row r="15" spans="3:8" ht="91.5" customHeight="1">
      <c r="C15" s="60" t="s">
        <v>74</v>
      </c>
      <c r="D15" s="61"/>
      <c r="E15" s="62">
        <f>SUM(E3:E14)</f>
        <v>3804</v>
      </c>
      <c r="F15" s="12"/>
      <c r="G15" s="12"/>
    </row>
    <row r="16" spans="3:8" ht="91.5" customHeight="1"/>
    <row r="17" spans="4:7" ht="91.5" customHeight="1">
      <c r="D17" s="64"/>
      <c r="E17" s="65"/>
      <c r="F17" s="67"/>
      <c r="G17" s="67"/>
    </row>
    <row r="18" spans="4:7" ht="91.5" customHeight="1"/>
    <row r="19" spans="4:7" ht="91.5" customHeight="1"/>
    <row r="20" spans="4:7" ht="91.5" customHeight="1"/>
    <row r="21" spans="4:7" ht="91.5" customHeight="1"/>
    <row r="22" spans="4:7" ht="91.5" customHeight="1"/>
    <row r="23" spans="4:7" ht="91.5" customHeight="1"/>
    <row r="24" spans="4:7" ht="91.5" customHeight="1"/>
    <row r="25" spans="4:7" ht="91.5" customHeight="1"/>
    <row r="26" spans="4:7" ht="91.5" customHeight="1"/>
    <row r="27" spans="4:7" ht="91.5" customHeight="1"/>
    <row r="28" spans="4:7" ht="91.5" customHeight="1"/>
    <row r="29" spans="4:7" ht="91.5" customHeight="1"/>
    <row r="30" spans="4:7" ht="91.5" customHeight="1"/>
    <row r="31" spans="4:7" ht="91.5" customHeight="1"/>
    <row r="32" spans="4:7" ht="91.5" customHeight="1"/>
    <row r="33" ht="91.5" customHeight="1"/>
    <row r="34" ht="91.5" customHeight="1"/>
    <row r="35" ht="91.5" customHeight="1"/>
    <row r="36" ht="91.5" customHeight="1"/>
    <row r="37" ht="91.5" customHeight="1"/>
    <row r="38" ht="91.5" customHeight="1"/>
    <row r="39" ht="91.5" customHeight="1"/>
    <row r="40" ht="91.5" customHeight="1"/>
    <row r="41" ht="91.5" customHeight="1"/>
    <row r="42" ht="91.5" customHeight="1"/>
    <row r="43" ht="91.5" customHeight="1"/>
    <row r="44" ht="91.5" customHeight="1"/>
    <row r="45" ht="91.5" customHeight="1"/>
    <row r="46" ht="91.5" customHeight="1"/>
    <row r="47" ht="91.5" customHeight="1"/>
    <row r="48" ht="91.5" customHeight="1"/>
    <row r="49" ht="91.5" customHeight="1"/>
    <row r="50" ht="91.5" customHeight="1"/>
    <row r="51" ht="91.5" customHeight="1"/>
    <row r="52" ht="91.5" customHeight="1"/>
    <row r="53" ht="91.5" customHeight="1"/>
    <row r="54" ht="91.5" customHeight="1"/>
    <row r="55" ht="91.5" customHeight="1"/>
    <row r="56" ht="91.5" customHeight="1"/>
    <row r="57" ht="91.5" customHeight="1"/>
    <row r="58" ht="91.5" customHeight="1"/>
    <row r="59" ht="91.5" customHeight="1"/>
    <row r="60" ht="91.5" customHeight="1"/>
    <row r="61" ht="91.5" customHeight="1"/>
    <row r="62" ht="91.5" customHeight="1"/>
    <row r="63" ht="91.5" customHeight="1"/>
    <row r="64" ht="91.5" customHeight="1"/>
    <row r="65" ht="91.5" customHeight="1"/>
    <row r="66" ht="91.5" customHeight="1"/>
    <row r="67" ht="91.5" customHeight="1"/>
    <row r="68" ht="91.5" customHeight="1"/>
    <row r="69" ht="91.5" customHeight="1"/>
    <row r="70" ht="91.5" customHeight="1"/>
    <row r="71" ht="91.5" customHeight="1"/>
    <row r="72" ht="91.5" customHeight="1"/>
    <row r="73" ht="91.5" customHeight="1"/>
    <row r="74" ht="91.5" customHeight="1"/>
    <row r="75" ht="91.5" customHeight="1"/>
    <row r="76" ht="91.5" customHeight="1"/>
    <row r="77" ht="91.5" customHeight="1"/>
    <row r="78" ht="91.5" customHeight="1"/>
    <row r="79" ht="91.5" customHeight="1"/>
    <row r="80" ht="91.5" customHeight="1"/>
    <row r="81" ht="91.5" customHeight="1"/>
    <row r="82" ht="91.5" customHeight="1"/>
    <row r="83" ht="91.5" customHeight="1"/>
    <row r="84" ht="91.5" customHeight="1"/>
    <row r="85" ht="91.5" customHeight="1"/>
    <row r="86" ht="91.5" customHeight="1"/>
    <row r="87" ht="91.5" customHeight="1"/>
    <row r="88" ht="91.5" customHeight="1"/>
    <row r="89" ht="91.5" customHeight="1"/>
    <row r="90" ht="91.5" customHeight="1"/>
    <row r="91" ht="91.5" customHeight="1"/>
    <row r="92" ht="91.5" customHeight="1"/>
    <row r="93" ht="91.5" customHeight="1"/>
    <row r="94" ht="91.5" customHeight="1"/>
    <row r="95" ht="91.5" customHeight="1"/>
    <row r="96" ht="91.5" customHeight="1"/>
    <row r="97" ht="91.5" customHeight="1"/>
    <row r="98" ht="91.5" customHeight="1"/>
    <row r="99" ht="91.5" customHeight="1"/>
    <row r="100" ht="91.5" customHeight="1"/>
    <row r="101" ht="91.5" customHeight="1"/>
    <row r="102" ht="91.5" customHeight="1"/>
    <row r="103" ht="91.5" customHeight="1"/>
    <row r="104" ht="91.5" customHeight="1"/>
    <row r="105" ht="91.5" customHeight="1"/>
    <row r="106" ht="91.5" customHeight="1"/>
    <row r="107" ht="91.5" customHeight="1"/>
    <row r="108" ht="91.5" customHeight="1"/>
    <row r="109" ht="91.5" customHeight="1"/>
    <row r="110" ht="91.5" customHeight="1"/>
    <row r="111" ht="91.5" customHeight="1"/>
    <row r="112" ht="91.5" customHeight="1"/>
    <row r="113" ht="91.5" customHeight="1"/>
    <row r="114" ht="91.5" customHeight="1"/>
    <row r="115" ht="91.5" customHeight="1"/>
    <row r="116" ht="91.5" customHeight="1"/>
    <row r="117" ht="91.5" customHeight="1"/>
    <row r="118" ht="91.5" customHeight="1"/>
    <row r="119" ht="91.5" customHeight="1"/>
    <row r="120" ht="91.5" customHeight="1"/>
    <row r="121" ht="91.5" customHeight="1"/>
    <row r="122" ht="91.5" customHeight="1"/>
    <row r="123" ht="91.5" customHeight="1"/>
    <row r="124" ht="91.5" customHeight="1"/>
    <row r="125" ht="91.5" customHeight="1"/>
    <row r="126" ht="91.5" customHeight="1"/>
    <row r="127" ht="91.5" customHeight="1"/>
    <row r="128" ht="91.5" customHeight="1"/>
    <row r="129" ht="91.5" customHeight="1"/>
    <row r="130" ht="91.5" customHeight="1"/>
    <row r="131" ht="91.5" customHeight="1"/>
    <row r="132" ht="91.5" customHeight="1"/>
    <row r="133" ht="91.5" customHeight="1"/>
    <row r="134" ht="91.5" customHeight="1"/>
    <row r="135" ht="91.5" customHeight="1"/>
    <row r="136" ht="91.5" customHeight="1"/>
    <row r="137" ht="91.5" customHeight="1"/>
    <row r="138" ht="91.5" customHeight="1"/>
    <row r="139" ht="91.5" customHeight="1"/>
    <row r="140" ht="91.5" customHeight="1"/>
    <row r="141" ht="91.5" customHeight="1"/>
    <row r="142" ht="91.5" customHeight="1"/>
    <row r="143" ht="91.5" customHeight="1"/>
    <row r="144" ht="91.5" customHeight="1"/>
    <row r="145" ht="91.5" customHeight="1"/>
    <row r="146" ht="91.5" customHeight="1"/>
    <row r="147" ht="91.5" customHeight="1"/>
    <row r="148" ht="91.5" customHeight="1"/>
    <row r="149" ht="91.5" customHeight="1"/>
    <row r="150" ht="91.5" customHeight="1"/>
    <row r="151" ht="91.5" customHeight="1"/>
    <row r="152" ht="91.5" customHeight="1"/>
    <row r="153" ht="91.5" customHeight="1"/>
    <row r="154" ht="91.5" customHeight="1"/>
    <row r="155" ht="91.5" customHeight="1"/>
    <row r="156" ht="91.5" customHeight="1"/>
    <row r="157" ht="91.5" customHeight="1"/>
    <row r="158" ht="91.5" customHeight="1"/>
    <row r="159" ht="91.5" customHeight="1"/>
    <row r="160" ht="91.5" customHeight="1"/>
    <row r="161" ht="91.5" customHeight="1"/>
    <row r="162" ht="91.5" customHeight="1"/>
    <row r="163" ht="91.5" customHeight="1"/>
    <row r="164" ht="91.5" customHeight="1"/>
    <row r="165" ht="91.5" customHeight="1"/>
    <row r="166" ht="91.5" customHeight="1"/>
    <row r="167" ht="91.5" customHeight="1"/>
    <row r="168" ht="91.5" customHeight="1"/>
    <row r="169" ht="91.5" customHeight="1"/>
    <row r="170" ht="91.5" customHeight="1"/>
    <row r="171" ht="91.5" customHeight="1"/>
    <row r="172" ht="91.5" customHeight="1"/>
    <row r="173" ht="91.5" customHeight="1"/>
    <row r="174" ht="91.5" customHeight="1"/>
    <row r="175" ht="91.5" customHeight="1"/>
    <row r="176" ht="91.5" customHeight="1"/>
    <row r="177" ht="91.5" customHeight="1"/>
    <row r="178" ht="91.5" customHeight="1"/>
    <row r="179" ht="91.5" customHeight="1"/>
    <row r="180" ht="91.5" customHeight="1"/>
    <row r="181" ht="91.5" customHeight="1"/>
    <row r="182" ht="91.5" customHeight="1"/>
    <row r="183" ht="91.5" customHeight="1"/>
    <row r="184" ht="91.5" customHeight="1"/>
    <row r="185" ht="91.5" customHeight="1"/>
    <row r="186" ht="91.5" customHeight="1"/>
    <row r="187" ht="91.5" customHeight="1"/>
    <row r="188" ht="91.5" customHeight="1"/>
    <row r="189" ht="91.5" customHeight="1"/>
    <row r="190" ht="91.5" customHeight="1"/>
    <row r="191" ht="91.5" customHeight="1"/>
    <row r="192" ht="91.5" customHeight="1"/>
    <row r="193" ht="91.5" customHeight="1"/>
    <row r="194" ht="91.5" customHeight="1"/>
    <row r="195" ht="91.5" customHeight="1"/>
    <row r="196" ht="91.5" customHeight="1"/>
    <row r="197" ht="91.5" customHeight="1"/>
    <row r="198" ht="91.5" customHeight="1"/>
    <row r="199" ht="91.5" customHeight="1"/>
    <row r="200" ht="91.5" customHeight="1"/>
    <row r="201" ht="91.5" customHeight="1"/>
    <row r="202" ht="91.5" customHeight="1"/>
    <row r="203" ht="91.5" customHeight="1"/>
    <row r="204" ht="91.5" customHeight="1"/>
    <row r="205" ht="91.5" customHeight="1"/>
    <row r="206" ht="91.5" customHeight="1"/>
    <row r="207" ht="91.5" customHeight="1"/>
    <row r="208" ht="91.5" customHeight="1"/>
    <row r="209" ht="91.5" customHeight="1"/>
    <row r="210" ht="91.5" customHeight="1"/>
    <row r="211" ht="91.5" customHeight="1"/>
    <row r="212" ht="91.5" customHeight="1"/>
    <row r="213" ht="91.5" customHeight="1"/>
    <row r="214" ht="91.5" customHeight="1"/>
    <row r="215" ht="91.5" customHeight="1"/>
    <row r="216" ht="91.5" customHeight="1"/>
    <row r="217" ht="91.5" customHeight="1"/>
    <row r="218" ht="91.5" customHeight="1"/>
    <row r="219" ht="91.5" customHeight="1"/>
    <row r="220" ht="91.5" customHeight="1"/>
    <row r="221" ht="91.5" customHeight="1"/>
    <row r="222" ht="91.5" customHeight="1"/>
    <row r="223" ht="91.5" customHeight="1"/>
    <row r="224" ht="91.5" customHeight="1"/>
    <row r="225" ht="91.5" customHeight="1"/>
    <row r="226" ht="91.5" customHeight="1"/>
    <row r="227" ht="91.5" customHeight="1"/>
    <row r="228" ht="91.5" customHeight="1"/>
    <row r="229" ht="91.5" customHeight="1"/>
    <row r="230" ht="91.5" customHeight="1"/>
    <row r="231" ht="91.5" customHeight="1"/>
    <row r="232" ht="91.5" customHeight="1"/>
    <row r="233" ht="91.5" customHeight="1"/>
    <row r="234" ht="91.5" customHeight="1"/>
    <row r="235" ht="91.5" customHeight="1"/>
    <row r="236" ht="91.5" customHeight="1"/>
    <row r="237" ht="91.5" customHeight="1"/>
    <row r="238" ht="91.5" customHeight="1"/>
    <row r="239" ht="91.5" customHeight="1"/>
    <row r="240" ht="91.5" customHeight="1"/>
    <row r="241" ht="91.5" customHeight="1"/>
    <row r="242" ht="91.5" customHeight="1"/>
    <row r="243" ht="91.5" customHeight="1"/>
    <row r="244" ht="91.5" customHeight="1"/>
    <row r="245" ht="91.5" customHeight="1"/>
    <row r="246" ht="91.5" customHeight="1"/>
    <row r="247" ht="91.5" customHeight="1"/>
    <row r="248" ht="91.5" customHeight="1"/>
    <row r="249" ht="91.5" customHeight="1"/>
    <row r="250" ht="91.5" customHeight="1"/>
    <row r="251" ht="91.5" customHeight="1"/>
    <row r="252" ht="91.5" customHeight="1"/>
    <row r="253" ht="91.5" customHeight="1"/>
    <row r="254" ht="91.5" customHeight="1"/>
    <row r="255" ht="91.5" customHeight="1"/>
    <row r="256" ht="91.5" customHeight="1"/>
    <row r="257" ht="91.5" customHeight="1"/>
    <row r="258" ht="91.5" customHeight="1"/>
    <row r="259" ht="91.5" customHeight="1"/>
    <row r="260" ht="91.5" customHeight="1"/>
    <row r="261" ht="91.5" customHeight="1"/>
    <row r="262" ht="91.5" customHeight="1"/>
    <row r="263" ht="91.5" customHeight="1"/>
    <row r="264" ht="91.5" customHeight="1"/>
    <row r="265" ht="91.5" customHeight="1"/>
    <row r="266" ht="91.5" customHeight="1"/>
    <row r="267" ht="91.5" customHeight="1"/>
    <row r="268" ht="91.5" customHeight="1"/>
    <row r="269" ht="91.5" customHeight="1"/>
    <row r="270" ht="91.5" customHeight="1"/>
    <row r="271" ht="91.5" customHeight="1"/>
    <row r="272" ht="91.5" customHeight="1"/>
    <row r="273" ht="91.5" customHeight="1"/>
    <row r="274" ht="91.5" customHeight="1"/>
    <row r="275" ht="91.5" customHeight="1"/>
    <row r="276" ht="91.5" customHeight="1"/>
    <row r="277" ht="91.5" customHeight="1"/>
    <row r="278" ht="91.5" customHeight="1"/>
    <row r="279" ht="91.5" customHeight="1"/>
    <row r="280" ht="91.5" customHeight="1"/>
    <row r="281" ht="91.5" customHeight="1"/>
    <row r="282" ht="91.5" customHeight="1"/>
    <row r="283" ht="91.5" customHeight="1"/>
    <row r="284" ht="91.5" customHeight="1"/>
    <row r="285" ht="91.5" customHeight="1"/>
    <row r="286" ht="91.5" customHeight="1"/>
    <row r="287" ht="91.5" customHeight="1"/>
    <row r="288" ht="91.5" customHeight="1"/>
    <row r="289" ht="91.5" customHeight="1"/>
    <row r="290" ht="91.5" customHeight="1"/>
    <row r="291" ht="91.5" customHeight="1"/>
    <row r="292" ht="91.5" customHeight="1"/>
    <row r="293" ht="91.5" customHeight="1"/>
    <row r="294" ht="91.5" customHeight="1"/>
    <row r="295" ht="91.5" customHeight="1"/>
    <row r="296" ht="91.5" customHeight="1"/>
    <row r="297" ht="91.5" customHeight="1"/>
    <row r="298" ht="91.5" customHeight="1"/>
    <row r="299" ht="91.5" customHeight="1"/>
    <row r="300" ht="91.5" customHeight="1"/>
    <row r="301" ht="91.5" customHeight="1"/>
    <row r="302" ht="91.5" customHeight="1"/>
    <row r="303" ht="91.5" customHeight="1"/>
    <row r="304" ht="91.5" customHeight="1"/>
    <row r="305" ht="91.5" customHeight="1"/>
    <row r="306" ht="91.5" customHeight="1"/>
    <row r="307" ht="91.5" customHeight="1"/>
    <row r="308" ht="91.5" customHeight="1"/>
    <row r="309" ht="91.5" customHeight="1"/>
    <row r="310" ht="91.5" customHeight="1"/>
    <row r="311" ht="91.5" customHeight="1"/>
    <row r="312" ht="91.5" customHeight="1"/>
    <row r="313" ht="91.5" customHeight="1"/>
    <row r="314" ht="91.5" customHeight="1"/>
    <row r="315" ht="91.5" customHeight="1"/>
    <row r="316" ht="91.5" customHeight="1"/>
    <row r="317" ht="91.5" customHeight="1"/>
    <row r="318" ht="91.5" customHeight="1"/>
    <row r="319" ht="91.5" customHeight="1"/>
    <row r="320" ht="91.5" customHeight="1"/>
    <row r="321" ht="91.5" customHeight="1"/>
    <row r="322" ht="91.5" customHeight="1"/>
    <row r="323" ht="91.5" customHeight="1"/>
    <row r="324" ht="91.5" customHeight="1"/>
    <row r="325" ht="91.5" customHeight="1"/>
    <row r="326" ht="91.5" customHeight="1"/>
    <row r="327" ht="91.5" customHeight="1"/>
    <row r="328" ht="91.5" customHeight="1"/>
    <row r="329" ht="91.5" customHeight="1"/>
    <row r="330" ht="91.5" customHeight="1"/>
    <row r="331" ht="91.5" customHeight="1"/>
    <row r="332" ht="91.5" customHeight="1"/>
    <row r="333" ht="91.5" customHeight="1"/>
    <row r="334" ht="91.5" customHeight="1"/>
    <row r="335" ht="91.5" customHeight="1"/>
    <row r="336" ht="91.5" customHeight="1"/>
    <row r="337" ht="91.5" customHeight="1"/>
    <row r="338" ht="91.5" customHeight="1"/>
    <row r="339" ht="91.5" customHeight="1"/>
    <row r="340" ht="91.5" customHeight="1"/>
    <row r="341" ht="91.5" customHeight="1"/>
    <row r="342" ht="91.5" customHeight="1"/>
    <row r="343" ht="91.5" customHeight="1"/>
    <row r="344" ht="91.5" customHeight="1"/>
    <row r="345" ht="91.5" customHeight="1"/>
    <row r="346" ht="91.5" customHeight="1"/>
    <row r="347" ht="91.5" customHeight="1"/>
    <row r="348" ht="91.5" customHeight="1"/>
    <row r="349" ht="91.5" customHeight="1"/>
    <row r="350" ht="91.5" customHeight="1"/>
    <row r="351" ht="91.5" customHeight="1"/>
    <row r="352" ht="91.5" customHeight="1"/>
    <row r="353" ht="91.5" customHeight="1"/>
    <row r="354" ht="91.5" customHeight="1"/>
    <row r="355" ht="91.5" customHeight="1"/>
    <row r="356" ht="91.5" customHeight="1"/>
    <row r="357" ht="91.5" customHeight="1"/>
    <row r="358" ht="91.5" customHeight="1"/>
    <row r="359" ht="91.5" customHeight="1"/>
    <row r="360" ht="91.5" customHeight="1"/>
    <row r="361" ht="91.5" customHeight="1"/>
    <row r="362" ht="91.5" customHeight="1"/>
    <row r="363" ht="91.5" customHeight="1"/>
    <row r="364" ht="91.5" customHeight="1"/>
    <row r="365" ht="91.5" customHeight="1"/>
    <row r="366" ht="91.5" customHeight="1"/>
    <row r="367" ht="91.5" customHeight="1"/>
    <row r="368" ht="91.5" customHeight="1"/>
    <row r="369" ht="91.5" customHeight="1"/>
    <row r="370" ht="91.5" customHeight="1"/>
    <row r="371" ht="91.5" customHeight="1"/>
    <row r="372" ht="91.5" customHeight="1"/>
    <row r="373" ht="91.5" customHeight="1"/>
    <row r="374" ht="91.5" customHeight="1"/>
    <row r="375" ht="91.5" customHeight="1"/>
    <row r="376" ht="91.5" customHeight="1"/>
    <row r="377" ht="91.5" customHeight="1"/>
    <row r="378" ht="91.5" customHeight="1"/>
    <row r="379" ht="91.5" customHeight="1"/>
    <row r="380" ht="91.5" customHeight="1"/>
    <row r="381" ht="91.5" customHeight="1"/>
    <row r="382" ht="91.5" customHeight="1"/>
    <row r="383" ht="91.5" customHeight="1"/>
    <row r="384" ht="91.5" customHeight="1"/>
    <row r="385" ht="91.5" customHeight="1"/>
    <row r="386" ht="91.5" customHeight="1"/>
    <row r="387" ht="91.5" customHeight="1"/>
    <row r="388" ht="91.5" customHeight="1"/>
    <row r="389" ht="91.5" customHeight="1"/>
    <row r="390" ht="91.5" customHeight="1"/>
    <row r="391" ht="91.5" customHeight="1"/>
    <row r="392" ht="91.5" customHeight="1"/>
    <row r="393" ht="91.5" customHeight="1"/>
    <row r="394" ht="91.5" customHeight="1"/>
    <row r="395" ht="91.5" customHeight="1"/>
    <row r="396" ht="91.5" customHeight="1"/>
    <row r="397" ht="91.5" customHeight="1"/>
    <row r="398" ht="91.5" customHeight="1"/>
    <row r="399" ht="91.5" customHeight="1"/>
    <row r="400" ht="91.5" customHeight="1"/>
    <row r="401" ht="91.5" customHeight="1"/>
    <row r="402" ht="91.5" customHeight="1"/>
    <row r="403" ht="91.5" customHeight="1"/>
    <row r="404" ht="91.5" customHeight="1"/>
    <row r="405" ht="91.5" customHeight="1"/>
    <row r="406" ht="91.5" customHeight="1"/>
    <row r="407" ht="91.5" customHeight="1"/>
    <row r="408" ht="91.5" customHeight="1"/>
    <row r="409" ht="91.5" customHeight="1"/>
    <row r="410" ht="91.5" customHeight="1"/>
    <row r="411" ht="91.5" customHeight="1"/>
    <row r="412" ht="91.5" customHeight="1"/>
    <row r="413" ht="91.5" customHeight="1"/>
    <row r="414" ht="91.5" customHeight="1"/>
    <row r="415" ht="91.5" customHeight="1"/>
    <row r="416" ht="91.5" customHeight="1"/>
    <row r="417" ht="91.5" customHeight="1"/>
    <row r="418" ht="91.5" customHeight="1"/>
    <row r="419" ht="91.5" customHeight="1"/>
    <row r="420" ht="91.5" customHeight="1"/>
    <row r="421" ht="91.5" customHeight="1"/>
    <row r="422" ht="91.5" customHeight="1"/>
    <row r="423" ht="91.5" customHeight="1"/>
    <row r="424" ht="91.5" customHeight="1"/>
    <row r="425" ht="91.5" customHeight="1"/>
    <row r="426" ht="91.5" customHeight="1"/>
    <row r="427" ht="91.5" customHeight="1"/>
    <row r="428" ht="91.5" customHeight="1"/>
    <row r="429" ht="91.5" customHeight="1"/>
    <row r="430" ht="91.5" customHeight="1"/>
    <row r="431" ht="91.5" customHeight="1"/>
    <row r="432" ht="91.5" customHeight="1"/>
    <row r="433" ht="91.5" customHeight="1"/>
    <row r="434" ht="91.5" customHeight="1"/>
    <row r="435" ht="91.5" customHeight="1"/>
    <row r="436" ht="91.5" customHeight="1"/>
    <row r="437" ht="91.5" customHeight="1"/>
    <row r="438" ht="91.5" customHeight="1"/>
    <row r="439" ht="91.5" customHeight="1"/>
    <row r="440" ht="91.5" customHeight="1"/>
    <row r="441" ht="91.5" customHeight="1"/>
    <row r="442" ht="91.5" customHeight="1"/>
    <row r="443" ht="91.5" customHeight="1"/>
    <row r="444" ht="91.5" customHeight="1"/>
    <row r="445" ht="91.5" customHeight="1"/>
    <row r="446" ht="91.5" customHeight="1"/>
    <row r="447" ht="91.5" customHeight="1"/>
    <row r="448" ht="91.5" customHeight="1"/>
    <row r="449" ht="91.5" customHeight="1"/>
    <row r="450" ht="91.5" customHeight="1"/>
    <row r="451" ht="91.5" customHeight="1"/>
    <row r="452" ht="91.5" customHeight="1"/>
    <row r="453" ht="91.5" customHeight="1"/>
    <row r="454" ht="91.5" customHeight="1"/>
    <row r="455" ht="91.5" customHeight="1"/>
    <row r="456" ht="91.5" customHeight="1"/>
    <row r="457" ht="91.5" customHeight="1"/>
    <row r="458" ht="91.5" customHeight="1"/>
    <row r="459" ht="91.5" customHeight="1"/>
    <row r="460" ht="91.5" customHeight="1"/>
    <row r="461" ht="91.5" customHeight="1"/>
    <row r="462" ht="91.5" customHeight="1"/>
    <row r="463" ht="91.5" customHeight="1"/>
    <row r="464" ht="91.5" customHeight="1"/>
    <row r="465" ht="91.5" customHeight="1"/>
    <row r="466" ht="91.5" customHeight="1"/>
    <row r="467" ht="91.5" customHeight="1"/>
    <row r="468" ht="91.5" customHeight="1"/>
    <row r="469" ht="91.5" customHeight="1"/>
    <row r="470" ht="91.5" customHeight="1"/>
    <row r="471" ht="91.5" customHeight="1"/>
    <row r="472" ht="91.5" customHeight="1"/>
    <row r="473" ht="91.5" customHeight="1"/>
    <row r="474" ht="91.5" customHeight="1"/>
    <row r="475" ht="91.5" customHeight="1"/>
    <row r="476" ht="91.5" customHeight="1"/>
    <row r="477" ht="91.5" customHeight="1"/>
    <row r="478" ht="91.5" customHeight="1"/>
    <row r="479" ht="91.5" customHeight="1"/>
    <row r="480" ht="91.5" customHeight="1"/>
    <row r="481" ht="91.5" customHeight="1"/>
    <row r="482" ht="91.5" customHeight="1"/>
    <row r="483" ht="91.5" customHeight="1"/>
    <row r="484" ht="91.5" customHeight="1"/>
    <row r="485" ht="91.5" customHeight="1"/>
    <row r="486" ht="91.5" customHeight="1"/>
    <row r="487" ht="91.5" customHeight="1"/>
    <row r="488" ht="91.5" customHeight="1"/>
    <row r="489" ht="91.5" customHeight="1"/>
    <row r="490" ht="91.5" customHeight="1"/>
    <row r="491" ht="91.5" customHeight="1"/>
    <row r="492" ht="91.5" customHeight="1"/>
    <row r="493" ht="91.5" customHeight="1"/>
    <row r="494" ht="91.5" customHeight="1"/>
    <row r="495" ht="91.5" customHeight="1"/>
    <row r="496" ht="91.5" customHeight="1"/>
    <row r="497" ht="91.5" customHeight="1"/>
    <row r="498" ht="91.5" customHeight="1"/>
    <row r="499" ht="91.5" customHeight="1"/>
    <row r="500" ht="91.5" customHeight="1"/>
    <row r="501" ht="91.5" customHeight="1"/>
    <row r="502" ht="91.5" customHeight="1"/>
    <row r="503" ht="91.5" customHeight="1"/>
    <row r="504" ht="91.5" customHeight="1"/>
    <row r="505" ht="91.5" customHeight="1"/>
    <row r="506" ht="91.5" customHeight="1"/>
    <row r="507" ht="91.5" customHeight="1"/>
    <row r="508" ht="91.5" customHeight="1"/>
    <row r="509" ht="91.5" customHeight="1"/>
    <row r="510" ht="91.5" customHeight="1"/>
    <row r="511" ht="91.5" customHeight="1"/>
    <row r="512" ht="91.5" customHeight="1"/>
    <row r="513" ht="91.5" customHeight="1"/>
    <row r="514" ht="91.5" customHeight="1"/>
    <row r="515" ht="91.5" customHeight="1"/>
    <row r="516" ht="91.5" customHeight="1"/>
    <row r="517" ht="91.5" customHeight="1"/>
    <row r="518" ht="91.5" customHeight="1"/>
    <row r="519" ht="91.5" customHeight="1"/>
    <row r="520" ht="91.5" customHeight="1"/>
    <row r="521" ht="91.5" customHeight="1"/>
    <row r="522" ht="91.5" customHeight="1"/>
    <row r="523" ht="91.5" customHeight="1"/>
    <row r="524" ht="91.5" customHeight="1"/>
    <row r="525" ht="91.5" customHeight="1"/>
    <row r="526" ht="91.5" customHeight="1"/>
    <row r="527" ht="91.5" customHeight="1"/>
    <row r="528" ht="91.5" customHeight="1"/>
    <row r="529" ht="91.5" customHeight="1"/>
    <row r="530" ht="91.5" customHeight="1"/>
    <row r="531" ht="91.5" customHeight="1"/>
    <row r="532" ht="91.5" customHeight="1"/>
    <row r="533" ht="91.5" customHeight="1"/>
    <row r="534" ht="91.5" customHeight="1"/>
    <row r="535" ht="91.5" customHeight="1"/>
    <row r="536" ht="91.5" customHeight="1"/>
    <row r="537" ht="91.5" customHeight="1"/>
    <row r="538" ht="91.5" customHeight="1"/>
    <row r="539" ht="91.5" customHeight="1"/>
    <row r="540" ht="91.5" customHeight="1"/>
    <row r="541" ht="91.5" customHeight="1"/>
    <row r="542" ht="91.5" customHeight="1"/>
    <row r="543" ht="91.5" customHeight="1"/>
    <row r="544" ht="91.5" customHeight="1"/>
    <row r="545" ht="91.5" customHeight="1"/>
    <row r="546" ht="91.5" customHeight="1"/>
    <row r="547" ht="91.5" customHeight="1"/>
    <row r="548" ht="91.5" customHeight="1"/>
    <row r="549" ht="91.5" customHeight="1"/>
    <row r="550" ht="91.5" customHeight="1"/>
    <row r="551" ht="91.5" customHeight="1"/>
    <row r="552" ht="91.5" customHeight="1"/>
    <row r="553" ht="91.5" customHeight="1"/>
    <row r="554" ht="91.5" customHeight="1"/>
    <row r="555" ht="91.5" customHeight="1"/>
    <row r="556" ht="91.5" customHeight="1"/>
    <row r="557" ht="91.5" customHeight="1"/>
    <row r="558" ht="91.5" customHeight="1"/>
    <row r="559" ht="91.5" customHeight="1"/>
    <row r="560" ht="91.5" customHeight="1"/>
    <row r="561" ht="91.5" customHeight="1"/>
    <row r="562" ht="91.5" customHeight="1"/>
    <row r="563" ht="91.5" customHeight="1"/>
    <row r="564" ht="91.5" customHeight="1"/>
    <row r="565" ht="91.5" customHeight="1"/>
    <row r="566" ht="91.5" customHeight="1"/>
    <row r="567" ht="91.5" customHeight="1"/>
    <row r="568" ht="91.5" customHeight="1"/>
    <row r="569" ht="91.5" customHeight="1"/>
    <row r="570" ht="91.5" customHeight="1"/>
    <row r="571" ht="91.5" customHeight="1"/>
    <row r="572" ht="91.5" customHeight="1"/>
    <row r="573" ht="91.5" customHeight="1"/>
    <row r="574" ht="91.5" customHeight="1"/>
    <row r="575" ht="91.5" customHeight="1"/>
    <row r="576" ht="91.5" customHeight="1"/>
    <row r="577" ht="91.5" customHeight="1"/>
    <row r="578" ht="91.5" customHeight="1"/>
    <row r="579" ht="91.5" customHeight="1"/>
    <row r="580" ht="91.5" customHeight="1"/>
    <row r="581" ht="91.5" customHeight="1"/>
    <row r="582" ht="91.5" customHeight="1"/>
    <row r="583" ht="91.5" customHeight="1"/>
    <row r="584" ht="91.5" customHeight="1"/>
    <row r="585" ht="91.5" customHeight="1"/>
    <row r="586" ht="91.5" customHeight="1"/>
    <row r="587" ht="91.5" customHeight="1"/>
    <row r="588" ht="91.5" customHeight="1"/>
    <row r="589" ht="91.5" customHeight="1"/>
    <row r="590" ht="91.5" customHeight="1"/>
    <row r="591" ht="91.5" customHeight="1"/>
    <row r="592" ht="91.5" customHeight="1"/>
    <row r="593" ht="91.5" customHeight="1"/>
    <row r="594" ht="91.5" customHeight="1"/>
    <row r="595" ht="91.5" customHeight="1"/>
    <row r="596" ht="91.5" customHeight="1"/>
    <row r="597" ht="91.5" customHeight="1"/>
    <row r="598" ht="91.5" customHeight="1"/>
    <row r="599" ht="91.5" customHeight="1"/>
    <row r="600" ht="91.5" customHeight="1"/>
    <row r="601" ht="91.5" customHeight="1"/>
    <row r="602" ht="91.5" customHeight="1"/>
    <row r="603" ht="91.5" customHeight="1"/>
    <row r="604" ht="91.5" customHeight="1"/>
    <row r="605" ht="91.5" customHeight="1"/>
    <row r="606" ht="91.5" customHeight="1"/>
    <row r="607" ht="91.5" customHeight="1"/>
    <row r="608" ht="91.5" customHeight="1"/>
    <row r="609" ht="91.5" customHeight="1"/>
    <row r="610" ht="91.5" customHeight="1"/>
    <row r="611" ht="91.5" customHeight="1"/>
    <row r="612" ht="91.5" customHeight="1"/>
    <row r="613" ht="91.5" customHeight="1"/>
    <row r="614" ht="91.5" customHeight="1"/>
    <row r="615" ht="91.5" customHeight="1"/>
    <row r="616" ht="91.5" customHeight="1"/>
    <row r="617" ht="91.5" customHeight="1"/>
    <row r="618" ht="91.5" customHeight="1"/>
    <row r="619" ht="91.5" customHeight="1"/>
    <row r="620" ht="91.5" customHeight="1"/>
    <row r="621" ht="91.5" customHeight="1"/>
    <row r="622" ht="91.5" customHeight="1"/>
    <row r="623" ht="91.5" customHeight="1"/>
    <row r="624" ht="91.5" customHeight="1"/>
    <row r="625" ht="91.5" customHeight="1"/>
    <row r="626" ht="91.5" customHeight="1"/>
    <row r="627" ht="91.5" customHeight="1"/>
    <row r="628" ht="91.5" customHeight="1"/>
    <row r="629" ht="91.5" customHeight="1"/>
    <row r="630" ht="91.5" customHeight="1"/>
    <row r="631" ht="91.5" customHeight="1"/>
    <row r="632" ht="91.5" customHeight="1"/>
    <row r="633" ht="91.5" customHeight="1"/>
    <row r="634" ht="91.5" customHeight="1"/>
    <row r="635" ht="91.5" customHeight="1"/>
    <row r="636" ht="91.5" customHeight="1"/>
    <row r="637" ht="91.5" customHeight="1"/>
    <row r="638" ht="91.5" customHeight="1"/>
    <row r="639" ht="91.5" customHeight="1"/>
    <row r="640" ht="91.5" customHeight="1"/>
    <row r="641" ht="91.5" customHeight="1"/>
    <row r="642" ht="91.5" customHeight="1"/>
    <row r="643" ht="91.5" customHeight="1"/>
    <row r="644" ht="91.5" customHeight="1"/>
    <row r="645" ht="91.5" customHeight="1"/>
    <row r="646" ht="91.5" customHeight="1"/>
    <row r="647" ht="91.5" customHeight="1"/>
    <row r="648" ht="91.5" customHeight="1"/>
    <row r="649" ht="91.5" customHeight="1"/>
    <row r="650" ht="91.5" customHeight="1"/>
    <row r="651" ht="91.5" customHeight="1"/>
    <row r="652" ht="91.5" customHeight="1"/>
    <row r="653" ht="91.5" customHeight="1"/>
    <row r="654" ht="91.5" customHeight="1"/>
    <row r="655" ht="91.5" customHeight="1"/>
    <row r="656" ht="91.5" customHeight="1"/>
    <row r="657" ht="91.5" customHeight="1"/>
    <row r="658" ht="91.5" customHeight="1"/>
    <row r="659" ht="91.5" customHeight="1"/>
    <row r="660" ht="91.5" customHeight="1"/>
    <row r="661" ht="91.5" customHeight="1"/>
    <row r="662" ht="91.5" customHeight="1"/>
    <row r="663" ht="91.5" customHeight="1"/>
    <row r="664" ht="91.5" customHeight="1"/>
    <row r="665" ht="91.5" customHeight="1"/>
    <row r="666" ht="91.5" customHeight="1"/>
    <row r="667" ht="91.5" customHeight="1"/>
    <row r="668" ht="91.5" customHeight="1"/>
    <row r="669" ht="91.5" customHeight="1"/>
    <row r="670" ht="91.5" customHeight="1"/>
    <row r="671" ht="91.5" customHeight="1"/>
    <row r="672" ht="91.5" customHeight="1"/>
    <row r="673" ht="91.5" customHeight="1"/>
    <row r="674" ht="91.5" customHeight="1"/>
    <row r="675" ht="91.5" customHeight="1"/>
    <row r="676" ht="91.5" customHeight="1"/>
    <row r="677" ht="91.5" customHeight="1"/>
    <row r="678" ht="91.5" customHeight="1"/>
    <row r="679" ht="91.5" customHeight="1"/>
    <row r="680" ht="91.5" customHeight="1"/>
    <row r="681" ht="91.5" customHeight="1"/>
    <row r="682" ht="91.5" customHeight="1"/>
    <row r="683" ht="91.5" customHeight="1"/>
    <row r="684" ht="91.5" customHeight="1"/>
    <row r="685" ht="91.5" customHeight="1"/>
    <row r="686" ht="91.5" customHeight="1"/>
    <row r="687" ht="91.5" customHeight="1"/>
    <row r="688" ht="91.5" customHeight="1"/>
    <row r="689" ht="91.5" customHeight="1"/>
    <row r="690" ht="91.5" customHeight="1"/>
    <row r="691" ht="91.5" customHeight="1"/>
    <row r="692" ht="91.5" customHeight="1"/>
    <row r="693" ht="91.5" customHeight="1"/>
    <row r="694" ht="91.5" customHeight="1"/>
    <row r="695" ht="91.5" customHeight="1"/>
    <row r="696" ht="91.5" customHeight="1"/>
    <row r="697" ht="91.5" customHeight="1"/>
    <row r="698" ht="91.5" customHeight="1"/>
    <row r="699" ht="91.5" customHeight="1"/>
    <row r="700" ht="91.5" customHeight="1"/>
    <row r="701" ht="91.5" customHeight="1"/>
    <row r="702" ht="91.5" customHeight="1"/>
    <row r="703" ht="91.5" customHeight="1"/>
    <row r="704" ht="91.5" customHeight="1"/>
    <row r="705" ht="91.5" customHeight="1"/>
    <row r="706" ht="91.5" customHeight="1"/>
    <row r="707" ht="91.5" customHeight="1"/>
    <row r="708" ht="91.5" customHeight="1"/>
    <row r="709" ht="91.5" customHeight="1"/>
    <row r="710" ht="91.5" customHeight="1"/>
    <row r="711" ht="91.5" customHeight="1"/>
    <row r="712" ht="91.5" customHeight="1"/>
    <row r="713" ht="91.5" customHeight="1"/>
    <row r="714" ht="91.5" customHeight="1"/>
    <row r="715" ht="91.5" customHeight="1"/>
    <row r="716" ht="91.5" customHeight="1"/>
    <row r="717" ht="91.5" customHeight="1"/>
    <row r="718" ht="91.5" customHeight="1"/>
    <row r="719" ht="91.5" customHeight="1"/>
    <row r="720" ht="91.5" customHeight="1"/>
    <row r="721" ht="91.5" customHeight="1"/>
    <row r="722" ht="91.5" customHeight="1"/>
    <row r="723" ht="91.5" customHeight="1"/>
    <row r="724" ht="91.5" customHeight="1"/>
    <row r="725" ht="91.5" customHeight="1"/>
    <row r="726" ht="91.5" customHeight="1"/>
    <row r="727" ht="91.5" customHeight="1"/>
    <row r="728" ht="91.5" customHeight="1"/>
    <row r="729" ht="91.5" customHeight="1"/>
    <row r="730" ht="91.5" customHeight="1"/>
    <row r="731" ht="91.5" customHeight="1"/>
    <row r="732" ht="91.5" customHeight="1"/>
    <row r="733" ht="91.5" customHeight="1"/>
    <row r="734" ht="91.5" customHeight="1"/>
    <row r="735" ht="91.5" customHeight="1"/>
    <row r="736" ht="91.5" customHeight="1"/>
    <row r="737" ht="91.5" customHeight="1"/>
    <row r="738" ht="91.5" customHeight="1"/>
    <row r="739" ht="91.5" customHeight="1"/>
    <row r="740" ht="91.5" customHeight="1"/>
    <row r="741" ht="91.5" customHeight="1"/>
    <row r="742" ht="91.5" customHeight="1"/>
    <row r="743" ht="91.5" customHeight="1"/>
    <row r="744" ht="91.5" customHeight="1"/>
    <row r="745" ht="91.5" customHeight="1"/>
    <row r="746" ht="91.5" customHeight="1"/>
    <row r="747" ht="91.5" customHeight="1"/>
    <row r="748" ht="91.5" customHeight="1"/>
    <row r="749" ht="91.5" customHeight="1"/>
    <row r="750" ht="91.5" customHeight="1"/>
    <row r="751" ht="91.5" customHeight="1"/>
    <row r="752" ht="91.5" customHeight="1"/>
    <row r="753" ht="91.5" customHeight="1"/>
    <row r="754" ht="91.5" customHeight="1"/>
    <row r="755" ht="91.5" customHeight="1"/>
    <row r="756" ht="91.5" customHeight="1"/>
    <row r="757" ht="91.5" customHeight="1"/>
    <row r="758" ht="91.5" customHeight="1"/>
    <row r="759" ht="91.5" customHeight="1"/>
    <row r="760" ht="91.5" customHeight="1"/>
    <row r="761" ht="91.5" customHeight="1"/>
    <row r="762" ht="91.5" customHeight="1"/>
    <row r="763" ht="91.5" customHeight="1"/>
    <row r="764" ht="91.5" customHeight="1"/>
    <row r="765" ht="91.5" customHeight="1"/>
    <row r="766" ht="91.5" customHeight="1"/>
    <row r="767" ht="91.5" customHeight="1"/>
    <row r="768" ht="91.5" customHeight="1"/>
    <row r="769" ht="91.5" customHeight="1"/>
    <row r="770" ht="91.5" customHeight="1"/>
    <row r="771" ht="91.5" customHeight="1"/>
    <row r="772" ht="91.5" customHeight="1"/>
    <row r="773" ht="91.5" customHeight="1"/>
    <row r="774" ht="91.5" customHeight="1"/>
    <row r="775" ht="91.5" customHeight="1"/>
    <row r="776" ht="91.5" customHeight="1"/>
    <row r="777" ht="91.5" customHeight="1"/>
    <row r="778" ht="91.5" customHeight="1"/>
    <row r="779" ht="91.5" customHeight="1"/>
    <row r="780" ht="91.5" customHeight="1"/>
    <row r="781" ht="91.5" customHeight="1"/>
    <row r="782" ht="91.5" customHeight="1"/>
    <row r="783" ht="91.5" customHeight="1"/>
    <row r="784" ht="91.5" customHeight="1"/>
    <row r="785" ht="91.5" customHeight="1"/>
    <row r="786" ht="91.5" customHeight="1"/>
    <row r="787" ht="91.5" customHeight="1"/>
    <row r="788" ht="91.5" customHeight="1"/>
    <row r="789" ht="91.5" customHeight="1"/>
    <row r="790" ht="91.5" customHeight="1"/>
    <row r="791" ht="91.5" customHeight="1"/>
    <row r="792" ht="91.5" customHeight="1"/>
    <row r="793" ht="91.5" customHeight="1"/>
    <row r="794" ht="91.5" customHeight="1"/>
    <row r="795" ht="91.5" customHeight="1"/>
    <row r="796" ht="91.5" customHeight="1"/>
    <row r="797" ht="91.5" customHeight="1"/>
    <row r="798" ht="91.5" customHeight="1"/>
    <row r="799" ht="91.5" customHeight="1"/>
    <row r="800" ht="91.5" customHeight="1"/>
    <row r="801" ht="91.5" customHeight="1"/>
    <row r="802" ht="91.5" customHeight="1"/>
    <row r="803" ht="91.5" customHeight="1"/>
    <row r="804" ht="91.5" customHeight="1"/>
    <row r="805" ht="91.5" customHeight="1"/>
    <row r="806" ht="91.5" customHeight="1"/>
    <row r="807" ht="91.5" customHeight="1"/>
    <row r="808" ht="91.5" customHeight="1"/>
    <row r="809" ht="91.5" customHeight="1"/>
    <row r="810" ht="91.5" customHeight="1"/>
    <row r="811" ht="91.5" customHeight="1"/>
    <row r="812" ht="91.5" customHeight="1"/>
    <row r="813" ht="91.5" customHeight="1"/>
    <row r="814" ht="91.5" customHeight="1"/>
    <row r="815" ht="91.5" customHeight="1"/>
    <row r="816" ht="91.5" customHeight="1"/>
    <row r="817" ht="91.5" customHeight="1"/>
    <row r="818" ht="91.5" customHeight="1"/>
    <row r="819" ht="91.5" customHeight="1"/>
    <row r="820" ht="91.5" customHeight="1"/>
    <row r="821" ht="91.5" customHeight="1"/>
    <row r="822" ht="91.5" customHeight="1"/>
    <row r="823" ht="91.5" customHeight="1"/>
    <row r="824" ht="91.5" customHeight="1"/>
    <row r="825" ht="91.5" customHeight="1"/>
    <row r="826" ht="91.5" customHeight="1"/>
    <row r="827" ht="91.5" customHeight="1"/>
    <row r="828" ht="91.5" customHeight="1"/>
    <row r="829" ht="91.5" customHeight="1"/>
    <row r="830" ht="91.5" customHeight="1"/>
    <row r="831" ht="91.5" customHeight="1"/>
    <row r="832" ht="91.5" customHeight="1"/>
    <row r="833" ht="91.5" customHeight="1"/>
    <row r="834" ht="91.5" customHeight="1"/>
    <row r="835" ht="91.5" customHeight="1"/>
    <row r="836" ht="91.5" customHeight="1"/>
    <row r="837" ht="91.5" customHeight="1"/>
    <row r="838" ht="91.5" customHeight="1"/>
    <row r="839" ht="91.5" customHeight="1"/>
    <row r="840" ht="91.5" customHeight="1"/>
    <row r="841" ht="91.5" customHeight="1"/>
    <row r="842" ht="91.5" customHeight="1"/>
    <row r="843" ht="91.5" customHeight="1"/>
    <row r="844" ht="91.5" customHeight="1"/>
    <row r="845" ht="91.5" customHeight="1"/>
    <row r="846" ht="91.5" customHeight="1"/>
    <row r="847" ht="91.5" customHeight="1"/>
    <row r="848" ht="91.5" customHeight="1"/>
    <row r="849" ht="91.5" customHeight="1"/>
    <row r="850" ht="91.5" customHeight="1"/>
    <row r="851" ht="91.5" customHeight="1"/>
    <row r="852" ht="91.5" customHeight="1"/>
    <row r="853" ht="91.5" customHeight="1"/>
    <row r="854" ht="91.5" customHeight="1"/>
    <row r="855" ht="91.5" customHeight="1"/>
    <row r="856" ht="91.5" customHeight="1"/>
    <row r="857" ht="91.5" customHeight="1"/>
    <row r="858" ht="91.5" customHeight="1"/>
    <row r="859" ht="91.5" customHeight="1"/>
    <row r="860" ht="91.5" customHeight="1"/>
    <row r="861" ht="91.5" customHeight="1"/>
    <row r="862" ht="91.5" customHeight="1"/>
    <row r="863" ht="91.5" customHeight="1"/>
    <row r="864" ht="91.5" customHeight="1"/>
    <row r="865" ht="91.5" customHeight="1"/>
    <row r="866" ht="91.5" customHeight="1"/>
    <row r="867" ht="91.5" customHeight="1"/>
    <row r="868" ht="91.5" customHeight="1"/>
    <row r="869" ht="91.5" customHeight="1"/>
    <row r="870" ht="91.5" customHeight="1"/>
    <row r="871" ht="91.5" customHeight="1"/>
    <row r="872" ht="91.5" customHeight="1"/>
    <row r="873" ht="91.5" customHeight="1"/>
    <row r="874" ht="91.5" customHeight="1"/>
    <row r="875" ht="91.5" customHeight="1"/>
    <row r="876" ht="91.5" customHeight="1"/>
    <row r="877" ht="91.5" customHeight="1"/>
    <row r="878" ht="91.5" customHeight="1"/>
    <row r="879" ht="91.5" customHeight="1"/>
    <row r="880" ht="91.5" customHeight="1"/>
    <row r="881" ht="91.5" customHeight="1"/>
    <row r="882" ht="91.5" customHeight="1"/>
    <row r="883" ht="91.5" customHeight="1"/>
    <row r="884" ht="91.5" customHeight="1"/>
    <row r="885" ht="91.5" customHeight="1"/>
    <row r="886" ht="91.5" customHeight="1"/>
    <row r="887" ht="91.5" customHeight="1"/>
    <row r="888" ht="91.5" customHeight="1"/>
    <row r="889" ht="91.5" customHeight="1"/>
    <row r="890" ht="91.5" customHeight="1"/>
    <row r="891" ht="91.5" customHeight="1"/>
    <row r="892" ht="91.5" customHeight="1"/>
    <row r="893" ht="91.5" customHeight="1"/>
    <row r="894" ht="91.5" customHeight="1"/>
    <row r="895" ht="91.5" customHeight="1"/>
    <row r="896" ht="91.5" customHeight="1"/>
    <row r="897" ht="91.5" customHeight="1"/>
    <row r="898" ht="91.5" customHeight="1"/>
    <row r="899" ht="91.5" customHeight="1"/>
    <row r="900" ht="91.5" customHeight="1"/>
    <row r="901" ht="91.5" customHeight="1"/>
    <row r="902" ht="91.5" customHeight="1"/>
    <row r="903" ht="91.5" customHeight="1"/>
    <row r="904" ht="91.5" customHeight="1"/>
    <row r="905" ht="91.5" customHeight="1"/>
    <row r="906" ht="91.5" customHeight="1"/>
    <row r="907" ht="91.5" customHeight="1"/>
    <row r="908" ht="91.5" customHeight="1"/>
    <row r="909" ht="91.5" customHeight="1"/>
    <row r="910" ht="91.5" customHeight="1"/>
    <row r="911" ht="91.5" customHeight="1"/>
    <row r="912" ht="91.5" customHeight="1"/>
    <row r="913" ht="91.5" customHeight="1"/>
    <row r="914" ht="91.5" customHeight="1"/>
    <row r="915" ht="91.5" customHeight="1"/>
    <row r="916" ht="91.5" customHeight="1"/>
    <row r="917" ht="91.5" customHeight="1"/>
    <row r="918" ht="91.5" customHeight="1"/>
    <row r="919" ht="91.5" customHeight="1"/>
    <row r="920" ht="91.5" customHeight="1"/>
    <row r="921" ht="91.5" customHeight="1"/>
    <row r="922" ht="91.5" customHeight="1"/>
    <row r="923" ht="91.5" customHeight="1"/>
    <row r="924" ht="91.5" customHeight="1"/>
    <row r="925" ht="91.5" customHeight="1"/>
    <row r="926" ht="91.5" customHeight="1"/>
    <row r="927" ht="91.5" customHeight="1"/>
    <row r="928" ht="91.5" customHeight="1"/>
    <row r="929" ht="91.5" customHeight="1"/>
    <row r="930" ht="91.5" customHeight="1"/>
    <row r="931" ht="91.5" customHeight="1"/>
    <row r="932" ht="91.5" customHeight="1"/>
    <row r="933" ht="91.5" customHeight="1"/>
    <row r="934" ht="91.5" customHeight="1"/>
    <row r="935" ht="91.5" customHeight="1"/>
    <row r="936" ht="91.5" customHeight="1"/>
    <row r="937" ht="91.5" customHeight="1"/>
    <row r="938" ht="91.5" customHeight="1"/>
    <row r="939" ht="91.5" customHeight="1"/>
    <row r="940" ht="91.5" customHeight="1"/>
    <row r="941" ht="91.5" customHeight="1"/>
    <row r="942" ht="91.5" customHeight="1"/>
    <row r="943" ht="91.5" customHeight="1"/>
    <row r="944" ht="91.5" customHeight="1"/>
    <row r="945" ht="91.5" customHeight="1"/>
    <row r="946" ht="91.5" customHeight="1"/>
    <row r="947" ht="91.5" customHeight="1"/>
    <row r="948" ht="91.5" customHeight="1"/>
    <row r="949" ht="91.5" customHeight="1"/>
    <row r="950" ht="91.5" customHeight="1"/>
    <row r="951" ht="91.5" customHeight="1"/>
    <row r="952" ht="91.5" customHeight="1"/>
    <row r="953" ht="91.5" customHeight="1"/>
    <row r="954" ht="91.5" customHeight="1"/>
    <row r="955" ht="91.5" customHeight="1"/>
    <row r="956" ht="91.5" customHeight="1"/>
    <row r="957" ht="91.5" customHeight="1"/>
    <row r="958" ht="91.5" customHeight="1"/>
    <row r="959" ht="91.5" customHeight="1"/>
    <row r="960" ht="91.5" customHeight="1"/>
    <row r="961" ht="91.5" customHeight="1"/>
    <row r="962" ht="91.5" customHeight="1"/>
    <row r="963" ht="91.5" customHeight="1"/>
    <row r="964" ht="91.5" customHeight="1"/>
    <row r="965" ht="91.5" customHeight="1"/>
    <row r="966" ht="91.5" customHeight="1"/>
    <row r="967" ht="91.5" customHeight="1"/>
    <row r="968" ht="91.5" customHeight="1"/>
    <row r="969" ht="91.5" customHeight="1"/>
    <row r="970" ht="91.5" customHeight="1"/>
    <row r="971" ht="91.5" customHeight="1"/>
    <row r="972" ht="91.5" customHeight="1"/>
    <row r="973" ht="91.5" customHeight="1"/>
    <row r="974" ht="91.5" customHeight="1"/>
    <row r="975" ht="91.5" customHeight="1"/>
    <row r="976" ht="91.5" customHeight="1"/>
    <row r="977" ht="91.5" customHeight="1"/>
    <row r="978" ht="91.5" customHeight="1"/>
    <row r="979" ht="91.5" customHeight="1"/>
    <row r="980" ht="91.5" customHeight="1"/>
    <row r="981" ht="91.5" customHeight="1"/>
    <row r="982" ht="91.5" customHeight="1"/>
    <row r="983" ht="91.5" customHeight="1"/>
    <row r="984" ht="91.5" customHeight="1"/>
    <row r="985" ht="91.5" customHeight="1"/>
    <row r="986" ht="91.5" customHeight="1"/>
    <row r="987" ht="91.5" customHeight="1"/>
    <row r="988" ht="91.5" customHeight="1"/>
    <row r="989" ht="91.5" customHeight="1"/>
    <row r="990" ht="91.5" customHeight="1"/>
    <row r="991" ht="91.5" customHeight="1"/>
    <row r="992" ht="91.5" customHeight="1"/>
    <row r="993" ht="91.5" customHeight="1"/>
    <row r="994" ht="91.5" customHeight="1"/>
    <row r="995" ht="91.5" customHeight="1"/>
    <row r="996" ht="91.5" customHeight="1"/>
    <row r="997" ht="91.5" customHeight="1"/>
    <row r="998" ht="91.5" customHeight="1"/>
    <row r="999" ht="91.5" customHeight="1"/>
    <row r="1000" ht="91.5" customHeight="1"/>
  </sheetData>
  <hyperlinks>
    <hyperlink ref="G3" r:id="rId1" xr:uid="{00000000-0004-0000-0200-000000000000}"/>
    <hyperlink ref="G4" r:id="rId2" xr:uid="{00000000-0004-0000-0200-000001000000}"/>
  </hyperlinks>
  <pageMargins left="0.7" right="0.7" top="0.75" bottom="0.75" header="0" footer="0"/>
  <pageSetup orientation="landscape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gastos de proyecto</vt:lpstr>
      <vt:lpstr>lista de tareas</vt:lpstr>
      <vt:lpstr>lista de componentes</vt:lpstr>
      <vt:lpstr>cantidad_devuelta</vt:lpstr>
      <vt:lpstr>devuelto_por</vt:lpstr>
      <vt:lpstr>dinero_de</vt:lpstr>
      <vt:lpstr>gasto</vt:lpstr>
      <vt:lpstr>para</vt:lpstr>
      <vt:lpstr>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mari-ser</dc:creator>
  <cp:lastModifiedBy>mari-ser</cp:lastModifiedBy>
  <dcterms:created xsi:type="dcterms:W3CDTF">2019-09-29T20:34:40Z</dcterms:created>
  <dcterms:modified xsi:type="dcterms:W3CDTF">2019-11-22T19:42:08Z</dcterms:modified>
</cp:coreProperties>
</file>